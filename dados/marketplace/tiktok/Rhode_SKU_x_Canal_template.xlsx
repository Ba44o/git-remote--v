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Alavancas" sheetId="4" state="visible" r:id="rId4"/>
    <sheet xmlns:r="http://schemas.openxmlformats.org/officeDocument/2006/relationships" name="Live afiliada" sheetId="5" state="visible" r:id="rId5"/>
    <sheet xmlns:r="http://schemas.openxmlformats.org/officeDocument/2006/relationships" name="Vídeo afiliada" sheetId="6" state="visible" r:id="rId6"/>
    <sheet xmlns:r="http://schemas.openxmlformats.org/officeDocument/2006/relationships" name="Card afiliada" sheetId="7" state="visible" r:id="rId7"/>
    <sheet xmlns:r="http://schemas.openxmlformats.org/officeDocument/2006/relationships" name="Live loja" sheetId="8" state="visible" r:id="rId8"/>
    <sheet xmlns:r="http://schemas.openxmlformats.org/officeDocument/2006/relationships" name="Vídeo loja" sheetId="9" state="visible" r:id="rId9"/>
    <sheet xmlns:r="http://schemas.openxmlformats.org/officeDocument/2006/relationships" name="Card loja" sheetId="10" state="visible" r:id="rId10"/>
    <sheet xmlns:r="http://schemas.openxmlformats.org/officeDocument/2006/relationships" name="Vitrine loja" sheetId="11" state="visible" r:id="rId11"/>
    <sheet xmlns:r="http://schemas.openxmlformats.org/officeDocument/2006/relationships" name="Busca e Mall" sheetId="12" state="visible" r:id="rId12"/>
    <sheet xmlns:r="http://schemas.openxmlformats.org/officeDocument/2006/relationships" name="Log diário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R$ &quot;#,##0"/>
    <numFmt numFmtId="165" formatCode="0.00\x"/>
    <numFmt numFmtId="166" formatCode="0.0%"/>
    <numFmt numFmtId="167" formatCode="#,##0.0"/>
    <numFmt numFmtId="168" formatCode="dd/mm/yyyy"/>
    <numFmt numFmtId="169" formatCode="&quot;R$ &quot;#,##0.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color rgb="FF008000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9" fontId="11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9" fontId="6" fillId="3" borderId="1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9" fontId="12" fillId="0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9" fontId="11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9" fontId="11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9" fontId="6" fillId="3" borderId="1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62" min="1" max="1"/>
    <col width="95" customWidth="1" style="62" min="2" max="2"/>
    <col width="18" customWidth="1" style="62" min="3" max="3"/>
    <col width="70" customWidth="1" style="62" min="4" max="4"/>
  </cols>
  <sheetData>
    <row r="1" ht="16.15" customHeight="1" s="63">
      <c r="A1" s="64" t="inlineStr">
        <is>
          <t>LEIA-ME — fontes, limitações e o que mudou</t>
        </is>
      </c>
    </row>
    <row r="3" ht="15" customHeight="1" s="63">
      <c r="A3" s="65" t="inlineStr">
        <is>
          <t>O QUE ESTAVA ERRADO NO RELATÓRIO ANTERIOR</t>
        </is>
      </c>
    </row>
    <row r="4" ht="27.75" customHeight="1" s="63">
      <c r="A4" s="66" t="inlineStr">
        <is>
          <t>Resumo não fechava com as abas</t>
        </is>
      </c>
      <c r="B4" s="67" t="inlineStr">
        <is>
          <t>O Resumo trazia 6.830 peças de base; a soma das abas dava 6.601. Faltavam 229 peças de SKUs de cauda que as abas cortavam. Corrigido com a linha CAUDA em cada canal.</t>
        </is>
      </c>
    </row>
    <row r="5" ht="27.75" customHeight="1" s="63">
      <c r="A5" s="66" t="inlineStr">
        <is>
          <t>Resumo era número morto</t>
        </is>
      </c>
      <c r="B5" s="67" t="inlineStr">
        <is>
          <t>As abas tinham fórmula, o Resumo era valor digitado. Mudar o crescimento não mudava o Resumo. Agora o Painel é 100% link.</t>
        </is>
      </c>
    </row>
    <row r="6" ht="27.75" customHeight="1" s="63">
      <c r="A6" s="66" t="inlineStr">
        <is>
          <t>Faltavam canais</t>
        </is>
      </c>
      <c r="B6" s="67" t="inlineStr">
        <is>
          <t>Vitrine da loja, busca/mall e card de afiliada não existiam. Agora existem como abas, com base zero e a fonte a abrir declarada.</t>
        </is>
      </c>
    </row>
    <row r="7" ht="27.75" customHeight="1" s="63">
      <c r="A7" s="66" t="inlineStr">
        <is>
          <t>Exato e estimado misturados</t>
        </is>
      </c>
      <c r="B7" s="67" t="inlineStr">
        <is>
          <t>Afiliada vem do extrato (exato). Live loja, vídeo loja e card vêm de split calibrado (estimado). Estavam na mesma tabela sem distinção. Agora tem coluna de confiança.</t>
        </is>
      </c>
    </row>
    <row r="8" ht="27.75" customHeight="1" s="63">
      <c r="A8" s="66" t="inlineStr">
        <is>
          <t>Não era pace tracker</t>
        </is>
      </c>
      <c r="B8" s="67" t="inlineStr">
        <is>
          <t>Tinha "% da meta" e "falta", que em dia 3 de 31 não dizem nada. Faltava esperado-até-hoje, índice de pace, projeção de fechamento e peças/dia necessárias. Todos entraram.</t>
        </is>
      </c>
    </row>
    <row r="9" ht="27.75" customHeight="1" s="63">
      <c r="A9" s="66" t="inlineStr">
        <is>
          <t>Meta desancorada</t>
        </is>
      </c>
      <c r="B9" s="67" t="inlineStr">
        <is>
          <t>O bottom-up dava 7.978 peças com a meta da empresa em 10.000. O relatório não mostrava esse gap. Agora ele aparece em vermelho no Painel e precisa ser fechado na aba Alavancas.</t>
        </is>
      </c>
    </row>
    <row r="10" ht="27.75" customHeight="1" s="63">
      <c r="A10" s="66" t="inlineStr">
        <is>
          <t>Só GMV, nenhuma margem</t>
        </is>
      </c>
      <c r="B10" s="67" t="inlineStr">
        <is>
          <t>A crise é de margem, não de faturamento. Entrou contribuição por peça e contribuição-meta por SKU e por canal.</t>
        </is>
      </c>
    </row>
    <row r="11" ht="27.75" customHeight="1" s="63">
      <c r="A11" s="66" t="inlineStr">
        <is>
          <t>Crescimento plano por canal</t>
        </is>
      </c>
      <c r="B11" s="67" t="inlineStr">
        <is>
          <t>Multiplicar todo SKU pelo mesmo percentual ignora a estratégia de portfólio. Entrou a coluna Ajuste (pç) para forçar SKU a SKU.</t>
        </is>
      </c>
    </row>
    <row r="12" ht="27.75" customHeight="1" s="63">
      <c r="A12" s="66" t="inlineStr">
        <is>
          <t>Alavanca era rótulo de texto</t>
        </is>
      </c>
      <c r="B12" s="67" t="inlineStr">
        <is>
          <t>Rhode Squad e Copa apareciam como frase no topo da aba. Agora têm driver math na aba Alavancas e precisam somar o gap.</t>
        </is>
      </c>
    </row>
    <row r="13" ht="27.75" customHeight="1" s="63">
      <c r="A13" s="66" t="inlineStr">
        <is>
          <t>GMV Max invisível</t>
        </is>
      </c>
      <c r="B13" s="67" t="inlineStr">
        <is>
          <t>58% dos pedidos da loja em julho passam por ele e ele não aparecia. Entrou como sobreposição de mídia, não como canal, para não dobrar contagem.</t>
        </is>
      </c>
    </row>
    <row r="15" ht="15" customHeight="1" s="63">
      <c r="A15" s="65" t="inlineStr">
        <is>
          <t>FONTE E LIMITAÇÃO DE CADA VARIÁVEL</t>
        </is>
      </c>
    </row>
    <row r="16" ht="15" customHeight="1" s="63">
      <c r="A16" s="68" t="inlineStr">
        <is>
          <t>Variável</t>
        </is>
      </c>
      <c r="B16" s="68" t="inlineStr">
        <is>
          <t>Fonte</t>
        </is>
      </c>
      <c r="C16" s="68" t="inlineStr">
        <is>
          <t>É medido?</t>
        </is>
      </c>
      <c r="D16" s="68" t="inlineStr">
        <is>
          <t>Limitação</t>
        </is>
      </c>
    </row>
    <row r="17" ht="25.5" customHeight="1" s="63">
      <c r="A17" s="69" t="inlineStr">
        <is>
          <t>Base jul — afiliada</t>
        </is>
      </c>
      <c r="B17" s="69" t="inlineStr">
        <is>
          <t>Extrato de afiliada</t>
        </is>
      </c>
      <c r="C17" s="69" t="inlineStr">
        <is>
          <t>MEDIDO</t>
        </is>
      </c>
      <c r="D17" s="69" t="inlineStr">
        <is>
          <t>Inclui concentração extrema em poucas creators.</t>
        </is>
      </c>
    </row>
    <row r="18" ht="25.5" customHeight="1" s="63">
      <c r="A18" s="69" t="inlineStr">
        <is>
          <t>Base jul — loja</t>
        </is>
      </c>
      <c r="B18" s="69" t="inlineStr">
        <is>
          <t>Split calibrado sobre export 'Análise de produtos'</t>
        </is>
      </c>
      <c r="C18" s="69" t="inlineStr">
        <is>
          <t>INFERIDO</t>
        </is>
      </c>
      <c r="D18" s="69" t="inlineStr">
        <is>
          <t>É rateio, não leitura direta. A separação live/vídeo/card do lado vendedor é estimativa.</t>
        </is>
      </c>
    </row>
    <row r="19" ht="25.5" customHeight="1" s="63">
      <c r="A19" s="69" t="inlineStr">
        <is>
          <t>Cauda por canal</t>
        </is>
      </c>
      <c r="B19" s="69" t="inlineStr">
        <is>
          <t>Delta entre Resumo e abas do arquivo anterior</t>
        </is>
      </c>
      <c r="C19" s="69" t="inlineStr">
        <is>
          <t>DERIVADO</t>
        </is>
      </c>
      <c r="D19" s="69" t="inlineStr">
        <is>
          <t>Sabemos o volume, não os SKUs. Preço usa média ponderada do canal.</t>
        </is>
      </c>
    </row>
    <row r="20" ht="25.5" customHeight="1" s="63">
      <c r="A20" s="69" t="inlineStr">
        <is>
          <t>Preço plan.</t>
        </is>
      </c>
      <c r="B20" s="69" t="inlineStr">
        <is>
          <t>Preço médio realizado em julho por SKU × canal</t>
        </is>
      </c>
      <c r="C20" s="69" t="inlineStr">
        <is>
          <t>MEDIDO</t>
        </is>
      </c>
      <c r="D20" s="69" t="inlineStr">
        <is>
          <t>É preço passado usado como plano. Se houver reajuste em agosto, editar a coluna azul.</t>
        </is>
      </c>
    </row>
    <row r="21" ht="25.5" customHeight="1" s="63">
      <c r="A21" s="69" t="inlineStr">
        <is>
          <t>CPV</t>
        </is>
      </c>
      <c r="B21" s="69" t="inlineStr">
        <is>
          <t>Modelo de unit economics travado em jul/2026</t>
        </is>
      </c>
      <c r="C21" s="69" t="inlineStr">
        <is>
          <t>MEDIDO</t>
        </is>
      </c>
      <c r="D21" s="69" t="inlineStr">
        <is>
          <t>Blended. Não é por SKU. Wide, Mom e Baggy não custam a mesma coisa.</t>
        </is>
      </c>
    </row>
    <row r="22" ht="25.5" customHeight="1" s="63">
      <c r="A22" s="69" t="inlineStr">
        <is>
          <t>Fee TikTok Shop</t>
        </is>
      </c>
      <c r="B22" s="69" t="inlineStr">
        <is>
          <t>—</t>
        </is>
      </c>
      <c r="C22" s="70" t="inlineStr">
        <is>
          <t>NÃO PREENCHIDO</t>
        </is>
      </c>
      <c r="D22" s="69" t="inlineStr">
        <is>
          <t>Está em 0%. Contribuição superestimada até preencher.</t>
        </is>
      </c>
    </row>
    <row r="23" ht="25.5" customHeight="1" s="63">
      <c r="A23" s="69" t="inlineStr">
        <is>
          <t>Comissão de afiliada</t>
        </is>
      </c>
      <c r="B23" s="69" t="inlineStr">
        <is>
          <t>—</t>
        </is>
      </c>
      <c r="C23" s="70" t="inlineStr">
        <is>
          <t>NÃO PREENCHIDO</t>
        </is>
      </c>
      <c r="D23" s="69" t="inlineStr">
        <is>
          <t>Está em 0%. Canais de afiliada aparecem com contribuição maior do que a real.</t>
        </is>
      </c>
    </row>
    <row r="24" ht="25.5" customHeight="1" s="63">
      <c r="A24" s="69" t="inlineStr">
        <is>
          <t>Devolução / cancelamento</t>
        </is>
      </c>
      <c r="B24" s="69" t="inlineStr">
        <is>
          <t>—</t>
        </is>
      </c>
      <c r="C24" s="70" t="inlineStr">
        <is>
          <t>NÃO PREENCHIDO</t>
        </is>
      </c>
      <c r="D24" s="69" t="inlineStr">
        <is>
          <t>Está em 0%. Você tem o dado aberto por SKU e tamanho — é a variável que mais muda o resultado.</t>
        </is>
      </c>
    </row>
    <row r="25" ht="25.5" customHeight="1" s="63">
      <c r="A25" s="69" t="inlineStr">
        <is>
          <t>Real MTD (peças)</t>
        </is>
      </c>
      <c r="B25" s="69" t="inlineStr">
        <is>
          <t>Aba 'Log diário'</t>
        </is>
      </c>
      <c r="C25" s="69" t="inlineStr">
        <is>
          <t>MEDIDO</t>
        </is>
      </c>
      <c r="D25" s="69" t="inlineStr">
        <is>
          <t>Hoje é um agregado de 01–03/08 em uma linha só. A partir de amanhã, uma linha por dia.</t>
        </is>
      </c>
    </row>
    <row r="26" ht="25.5" customHeight="1" s="63">
      <c r="A26" s="69" t="inlineStr">
        <is>
          <t>Real MTD (R$)</t>
        </is>
      </c>
      <c r="B26" s="69" t="inlineStr">
        <is>
          <t>Peças × preço médio de julho</t>
        </is>
      </c>
      <c r="C26" s="69" t="inlineStr">
        <is>
          <t>ESTIMADO</t>
        </is>
      </c>
      <c r="D26" s="69" t="inlineStr">
        <is>
          <t>GMV não foi medido no MTD. Trocar por GMV real do coletor.</t>
        </is>
      </c>
    </row>
    <row r="27" ht="25.5" customHeight="1" s="63">
      <c r="A27" s="69" t="inlineStr">
        <is>
          <t>Esperado MTD</t>
        </is>
      </c>
      <c r="B27" s="69" t="inlineStr">
        <is>
          <t>Meta × dias decorridos ÷ dias do mês</t>
        </is>
      </c>
      <c r="C27" s="69" t="inlineStr">
        <is>
          <t>MODELO</t>
        </is>
      </c>
      <c r="D27" s="69" t="inlineStr">
        <is>
          <t>Pace linear. Ago começa em sábado e domingo, então o índice de hoje está pessimista.</t>
        </is>
      </c>
    </row>
    <row r="28" ht="25.5" customHeight="1" s="63">
      <c r="A28" s="69" t="inlineStr">
        <is>
          <t>Projeção fim</t>
        </is>
      </c>
      <c r="B28" s="69" t="inlineStr">
        <is>
          <t>Real MTD ÷ dias decorridos × dias do mês</t>
        </is>
      </c>
      <c r="C28" s="69" t="inlineStr">
        <is>
          <t>MODELO</t>
        </is>
      </c>
      <c r="D28" s="69" t="inlineStr">
        <is>
          <t>Com 3 dias de dado, é ruído. Só ganha confiança a partir do dia 7.</t>
        </is>
      </c>
    </row>
    <row r="29" ht="25.5" customHeight="1" s="63">
      <c r="A29" s="69" t="inlineStr">
        <is>
          <t>Peças das alavancas</t>
        </is>
      </c>
      <c r="B29" s="69" t="inlineStr">
        <is>
          <t>Drivers digitados por você</t>
        </is>
      </c>
      <c r="C29" s="69" t="inlineStr">
        <is>
          <t>PREMISSA</t>
        </is>
      </c>
      <c r="D29" s="69" t="inlineStr">
        <is>
          <t>Nenhum desses drivers foi validado contra realizado. É hipótese explícita.</t>
        </is>
      </c>
    </row>
    <row r="30" ht="25.5" customHeight="1" s="63">
      <c r="A30" s="69" t="inlineStr">
        <is>
          <t>Inflação de atribuição</t>
        </is>
      </c>
      <c r="B30" s="69" t="inlineStr">
        <is>
          <t>Fatia de afiliada dentro da janela de 1 dia, jul/2026</t>
        </is>
      </c>
      <c r="C30" s="69" t="inlineStr">
        <is>
          <t>MEDIDO (PISO)</t>
        </is>
      </c>
      <c r="D30" s="69" t="inlineStr">
        <is>
          <t>É piso, não teto. O incremental real do GMV Max só sai com holdout.</t>
        </is>
      </c>
    </row>
    <row r="32" ht="15" customHeight="1" s="63">
      <c r="A32" s="65" t="inlineStr">
        <is>
          <t>ROTINA DIÁRIA — o que fazer todo dia de manhã</t>
        </is>
      </c>
    </row>
    <row r="33" ht="15" customHeight="1" s="63">
      <c r="A33" s="66" t="inlineStr">
        <is>
          <t>1</t>
        </is>
      </c>
      <c r="B33" s="62" t="inlineStr">
        <is>
          <t>Abrir 'Premissas' e mudar C6 para a data de hoje.</t>
        </is>
      </c>
    </row>
    <row r="34" ht="15" customHeight="1" s="63">
      <c r="A34" s="66" t="inlineStr">
        <is>
          <t>2</t>
        </is>
      </c>
      <c r="B34" s="62" t="inlineStr">
        <is>
          <t>Anexar as linhas do dia anterior no fim da aba 'Log diário' — Data, Canal, SKU, Peças, GMV.</t>
        </is>
      </c>
    </row>
    <row r="35" ht="15" customHeight="1" s="63">
      <c r="A35" s="66" t="inlineStr">
        <is>
          <t>3</t>
        </is>
      </c>
      <c r="B35" s="62" t="inlineStr">
        <is>
          <t>Abrir o Painel. Olhar só duas colunas: Índice pace e Gap vs meta.</t>
        </is>
      </c>
    </row>
    <row r="36" ht="15" customHeight="1" s="63">
      <c r="A36" s="66" t="inlineStr">
        <is>
          <t>4</t>
        </is>
      </c>
      <c r="B36" s="62" t="inlineStr">
        <is>
          <t>Canal abaixo de 0,90x por dois dias seguidos vira ação na aba Alavancas — mexer no driver, não na meta.</t>
        </is>
      </c>
    </row>
    <row r="37" ht="15" customHeight="1" s="63">
      <c r="A37" s="66" t="inlineStr">
        <is>
          <t>5</t>
        </is>
      </c>
      <c r="B37" s="62" t="inlineStr">
        <is>
          <t>Sexta-feira: revisar Ajuste (pç) por SKU contra estoque e grade antes de deixar a meta rodar mais uma semana.</t>
        </is>
      </c>
    </row>
    <row r="39" ht="15" customHeight="1" s="63">
      <c r="A39" s="65" t="inlineStr">
        <is>
          <t>PARA O SEU AGENTE — o que ele precisa passar a entregar</t>
        </is>
      </c>
    </row>
    <row r="40" ht="15" customHeight="1" s="63">
      <c r="A40" s="62" t="inlineStr">
        <is>
          <t>•</t>
        </is>
      </c>
      <c r="B40" s="62" t="inlineStr">
        <is>
          <t>Alimentar só a aba Log diário. Nunca regerar o arquivo inteiro: isso apaga os ajustes por SKU e os drivers das alavancas.</t>
        </is>
      </c>
    </row>
    <row r="41" ht="15" customHeight="1" s="63">
      <c r="A41" s="62" t="inlineStr">
        <is>
          <t>•</t>
        </is>
      </c>
      <c r="B41" s="62" t="inlineStr">
        <is>
          <t>Nomes de canal têm que bater exatamente com a coluna Canal do log. Qualquer variação quebra o SUMIFS em silêncio.</t>
        </is>
      </c>
    </row>
    <row r="42" ht="15" customHeight="1" s="63">
      <c r="A42" s="62" t="inlineStr">
        <is>
          <t>•</t>
        </is>
      </c>
      <c r="B42" s="62" t="inlineStr">
        <is>
          <t>Trazer GMV medido por SKU × canal, não peças × preço médio.</t>
        </is>
      </c>
    </row>
    <row r="43" ht="15" customHeight="1" s="63">
      <c r="A43" s="62" t="inlineStr">
        <is>
          <t>•</t>
        </is>
      </c>
      <c r="B43" s="62" t="inlineStr">
        <is>
          <t>Trazer devolução e cancelamento por SKU no mesmo formato, para alimentar Premissas!C20.</t>
        </is>
      </c>
    </row>
    <row r="44" ht="15" customHeight="1" s="63">
      <c r="A44" s="62" t="inlineStr">
        <is>
          <t>•</t>
        </is>
      </c>
      <c r="B44" s="62" t="inlineStr">
        <is>
          <t>Abrir a fonte de tráfego do lado vendedor de verdade (vitrine, busca, mall) em vez de ratear por calibração.</t>
        </is>
      </c>
    </row>
    <row r="45" ht="15" customHeight="1" s="63">
      <c r="A45" s="62" t="inlineStr">
        <is>
          <t>•</t>
        </is>
      </c>
      <c r="B45" s="62" t="inlineStr">
        <is>
          <t>Reconciliar sempre: soma das abas tem que ser igual ao total. Se sobrar cauda, ela vai para a linha CAUDA, não some.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62" min="1" max="1"/>
    <col width="18" customWidth="1" style="62" min="2" max="2"/>
    <col width="16" customWidth="1" style="62" min="3" max="3"/>
    <col width="34" customWidth="1" style="62" min="4" max="4"/>
    <col width="12" customWidth="1" style="62" min="5" max="5"/>
    <col width="11" customWidth="1" style="62" min="6" max="6"/>
    <col width="14" customWidth="1" style="62" min="7" max="8"/>
    <col width="12" customWidth="1" style="62" min="9" max="9"/>
    <col width="13" customWidth="1" style="62" min="10" max="10"/>
    <col width="11" customWidth="1" style="62" min="11" max="11"/>
    <col width="14" customWidth="1" style="62" min="12" max="12"/>
    <col width="12" customWidth="1" style="62" min="13" max="13"/>
    <col width="13" customWidth="1" style="62" min="14" max="14"/>
  </cols>
  <sheetData>
    <row r="1" ht="16.15" customHeight="1" s="63">
      <c r="A1" s="64" t="inlineStr">
        <is>
          <t>PAINEL — projeção agosto/2026 por canal, com pace</t>
        </is>
      </c>
    </row>
    <row r="2" ht="15" customHeight="1" s="63">
      <c r="A2" s="71" t="inlineStr">
        <is>
          <t>Tudo aqui é link para as abas de canal. Não digite nada nesta aba — edite em 'Premissas' ou na aba do canal.</t>
        </is>
      </c>
    </row>
    <row r="3" ht="15" customHeight="1" s="63">
      <c r="A3" s="71" t="inlineStr">
        <is>
          <t>Atualizado para a data em Premissas!C6</t>
        </is>
      </c>
    </row>
    <row r="5" ht="30" customHeight="1" s="63">
      <c r="A5" s="72" t="inlineStr">
        <is>
          <t>Canal</t>
        </is>
      </c>
      <c r="B5" s="72" t="inlineStr">
        <is>
          <t>Superfície</t>
        </is>
      </c>
      <c r="C5" s="72" t="inlineStr">
        <is>
          <t>Atribuição</t>
        </is>
      </c>
      <c r="D5" s="72" t="inlineStr">
        <is>
          <t>Confiança da base</t>
        </is>
      </c>
      <c r="E5" s="72" t="inlineStr">
        <is>
          <t>Base jul (pç)</t>
        </is>
      </c>
      <c r="F5" s="72" t="inlineStr">
        <is>
          <t>Meta (pç)</t>
        </is>
      </c>
      <c r="G5" s="72" t="inlineStr">
        <is>
          <t>Meta GMV</t>
        </is>
      </c>
      <c r="H5" s="72" t="inlineStr">
        <is>
          <t>Contrib. meta</t>
        </is>
      </c>
      <c r="I5" s="72" t="inlineStr">
        <is>
          <t>Real MTD (pç)</t>
        </is>
      </c>
      <c r="J5" s="72" t="inlineStr">
        <is>
          <t>Esperado MTD</t>
        </is>
      </c>
      <c r="K5" s="72" t="inlineStr">
        <is>
          <t>Índice pace</t>
        </is>
      </c>
      <c r="L5" s="72" t="inlineStr">
        <is>
          <t>Projeção fim (pç)</t>
        </is>
      </c>
      <c r="M5" s="72" t="inlineStr">
        <is>
          <t>Gap vs meta</t>
        </is>
      </c>
      <c r="N5" s="72" t="inlineStr">
        <is>
          <t>% da meta total</t>
        </is>
      </c>
    </row>
    <row r="6" ht="15" customHeight="1" s="63">
      <c r="A6" s="73" t="inlineStr">
        <is>
          <t>Live afiliada</t>
        </is>
      </c>
      <c r="B6" s="74" t="inlineStr">
        <is>
          <t>LIVE</t>
        </is>
      </c>
      <c r="C6" s="74" t="inlineStr">
        <is>
          <t>Afiliada</t>
        </is>
      </c>
      <c r="D6" s="74" t="inlineStr">
        <is>
          <t>EXATO — extrato de afiliada</t>
        </is>
      </c>
      <c r="E6" s="75">
        <f>'Live afiliada'!D21</f>
        <v/>
      </c>
      <c r="F6" s="75">
        <f>'Live afiliada'!G21</f>
        <v/>
      </c>
      <c r="G6" s="76">
        <f>'Live afiliada'!I21</f>
        <v/>
      </c>
      <c r="H6" s="76">
        <f>'Live afiliada'!L21</f>
        <v/>
      </c>
      <c r="I6" s="75">
        <f>'Live afiliada'!M21</f>
        <v/>
      </c>
      <c r="J6" s="75">
        <f>'Live afiliada'!O21</f>
        <v/>
      </c>
      <c r="K6" s="77">
        <f>IFERROR(I6/J6,0)</f>
        <v/>
      </c>
      <c r="L6" s="75">
        <f>'Live afiliada'!Q21</f>
        <v/>
      </c>
      <c r="M6" s="78">
        <f>L6-F6</f>
        <v/>
      </c>
      <c r="N6" s="79">
        <f>IFERROR(F6/$F$16,0)</f>
        <v/>
      </c>
    </row>
    <row r="7" ht="15" customHeight="1" s="63">
      <c r="A7" s="73" t="inlineStr">
        <is>
          <t>Vídeo afiliada</t>
        </is>
      </c>
      <c r="B7" s="74" t="inlineStr">
        <is>
          <t>VÍDEO</t>
        </is>
      </c>
      <c r="C7" s="74" t="inlineStr">
        <is>
          <t>Afiliada</t>
        </is>
      </c>
      <c r="D7" s="74" t="inlineStr">
        <is>
          <t>EXATO — extrato de afiliada</t>
        </is>
      </c>
      <c r="E7" s="75">
        <f>'Vídeo afiliada'!D23</f>
        <v/>
      </c>
      <c r="F7" s="75">
        <f>'Vídeo afiliada'!G23</f>
        <v/>
      </c>
      <c r="G7" s="76">
        <f>'Vídeo afiliada'!I23</f>
        <v/>
      </c>
      <c r="H7" s="76">
        <f>'Vídeo afiliada'!L23</f>
        <v/>
      </c>
      <c r="I7" s="75">
        <f>'Vídeo afiliada'!M23</f>
        <v/>
      </c>
      <c r="J7" s="75">
        <f>'Vídeo afiliada'!O23</f>
        <v/>
      </c>
      <c r="K7" s="77">
        <f>IFERROR(I7/J7,0)</f>
        <v/>
      </c>
      <c r="L7" s="75">
        <f>'Vídeo afiliada'!Q23</f>
        <v/>
      </c>
      <c r="M7" s="78">
        <f>L7-F7</f>
        <v/>
      </c>
      <c r="N7" s="79">
        <f>IFERROR(F7/$F$16,0)</f>
        <v/>
      </c>
    </row>
    <row r="8" ht="15" customHeight="1" s="63">
      <c r="A8" s="73" t="inlineStr">
        <is>
          <t>Card afiliada</t>
        </is>
      </c>
      <c r="B8" s="74" t="inlineStr">
        <is>
          <t>CARD DE PRODUTO</t>
        </is>
      </c>
      <c r="C8" s="74" t="inlineStr">
        <is>
          <t>Afiliada</t>
        </is>
      </c>
      <c r="D8" s="80" t="inlineStr">
        <is>
          <t>SEM DADO — não segmentado no extrato atual</t>
        </is>
      </c>
      <c r="E8" s="75">
        <f>'Card afiliada'!D9</f>
        <v/>
      </c>
      <c r="F8" s="75">
        <f>'Card afiliada'!G9</f>
        <v/>
      </c>
      <c r="G8" s="76">
        <f>'Card afiliada'!I9</f>
        <v/>
      </c>
      <c r="H8" s="76">
        <f>'Card afiliada'!L9</f>
        <v/>
      </c>
      <c r="I8" s="75">
        <f>'Card afiliada'!M9</f>
        <v/>
      </c>
      <c r="J8" s="75">
        <f>'Card afiliada'!O9</f>
        <v/>
      </c>
      <c r="K8" s="77">
        <f>IFERROR(I8/J8,0)</f>
        <v/>
      </c>
      <c r="L8" s="75">
        <f>'Card afiliada'!Q9</f>
        <v/>
      </c>
      <c r="M8" s="78">
        <f>L8-F8</f>
        <v/>
      </c>
      <c r="N8" s="79">
        <f>IFERROR(F8/$F$16,0)</f>
        <v/>
      </c>
    </row>
    <row r="9" ht="15" customHeight="1" s="63">
      <c r="A9" s="73" t="inlineStr">
        <is>
          <t>Live loja</t>
        </is>
      </c>
      <c r="B9" s="74" t="inlineStr">
        <is>
          <t>LIVE</t>
        </is>
      </c>
      <c r="C9" s="74" t="inlineStr">
        <is>
          <t>Loja / vendedor</t>
        </is>
      </c>
      <c r="D9" s="80" t="inlineStr">
        <is>
          <t>ESTIMADO — split calibrado, não medido</t>
        </is>
      </c>
      <c r="E9" s="75">
        <f>'Live loja'!D31</f>
        <v/>
      </c>
      <c r="F9" s="75">
        <f>'Live loja'!G31</f>
        <v/>
      </c>
      <c r="G9" s="76">
        <f>'Live loja'!I31</f>
        <v/>
      </c>
      <c r="H9" s="76">
        <f>'Live loja'!L31</f>
        <v/>
      </c>
      <c r="I9" s="75">
        <f>'Live loja'!M31</f>
        <v/>
      </c>
      <c r="J9" s="75">
        <f>'Live loja'!O31</f>
        <v/>
      </c>
      <c r="K9" s="77">
        <f>IFERROR(I9/J9,0)</f>
        <v/>
      </c>
      <c r="L9" s="75">
        <f>'Live loja'!Q31</f>
        <v/>
      </c>
      <c r="M9" s="78">
        <f>L9-F9</f>
        <v/>
      </c>
      <c r="N9" s="79">
        <f>IFERROR(F9/$F$16,0)</f>
        <v/>
      </c>
    </row>
    <row r="10" ht="15" customHeight="1" s="63">
      <c r="A10" s="73" t="inlineStr">
        <is>
          <t>Vídeo loja</t>
        </is>
      </c>
      <c r="B10" s="74" t="inlineStr">
        <is>
          <t>VÍDEO</t>
        </is>
      </c>
      <c r="C10" s="74" t="inlineStr">
        <is>
          <t>Loja / vendedor</t>
        </is>
      </c>
      <c r="D10" s="80" t="inlineStr">
        <is>
          <t>ESTIMADO — split calibrado, não medido</t>
        </is>
      </c>
      <c r="E10" s="75">
        <f>'Vídeo loja'!D11</f>
        <v/>
      </c>
      <c r="F10" s="75">
        <f>'Vídeo loja'!G11</f>
        <v/>
      </c>
      <c r="G10" s="76">
        <f>'Vídeo loja'!I11</f>
        <v/>
      </c>
      <c r="H10" s="76">
        <f>'Vídeo loja'!L11</f>
        <v/>
      </c>
      <c r="I10" s="75">
        <f>'Vídeo loja'!M11</f>
        <v/>
      </c>
      <c r="J10" s="75">
        <f>'Vídeo loja'!O11</f>
        <v/>
      </c>
      <c r="K10" s="77">
        <f>IFERROR(I10/J10,0)</f>
        <v/>
      </c>
      <c r="L10" s="75">
        <f>'Vídeo loja'!Q11</f>
        <v/>
      </c>
      <c r="M10" s="78">
        <f>L10-F10</f>
        <v/>
      </c>
      <c r="N10" s="79">
        <f>IFERROR(F10/$F$16,0)</f>
        <v/>
      </c>
    </row>
    <row r="11" ht="15" customHeight="1" s="63">
      <c r="A11" s="73" t="inlineStr">
        <is>
          <t>Card loja</t>
        </is>
      </c>
      <c r="B11" s="74" t="inlineStr">
        <is>
          <t>CARD DE PRODUTO</t>
        </is>
      </c>
      <c r="C11" s="74" t="inlineStr">
        <is>
          <t>Loja / vendedor</t>
        </is>
      </c>
      <c r="D11" s="80" t="inlineStr">
        <is>
          <t>ESTIMADO — split calibrado, não medido</t>
        </is>
      </c>
      <c r="E11" s="75">
        <f>'Card loja'!D16</f>
        <v/>
      </c>
      <c r="F11" s="75">
        <f>'Card loja'!G16</f>
        <v/>
      </c>
      <c r="G11" s="76">
        <f>'Card loja'!I16</f>
        <v/>
      </c>
      <c r="H11" s="76">
        <f>'Card loja'!L16</f>
        <v/>
      </c>
      <c r="I11" s="75">
        <f>'Card loja'!M16</f>
        <v/>
      </c>
      <c r="J11" s="75">
        <f>'Card loja'!O16</f>
        <v/>
      </c>
      <c r="K11" s="77">
        <f>IFERROR(I11/J11,0)</f>
        <v/>
      </c>
      <c r="L11" s="75">
        <f>'Card loja'!Q16</f>
        <v/>
      </c>
      <c r="M11" s="78">
        <f>L11-F11</f>
        <v/>
      </c>
      <c r="N11" s="79">
        <f>IFERROR(F11/$F$16,0)</f>
        <v/>
      </c>
    </row>
    <row r="12" ht="15" customHeight="1" s="63">
      <c r="A12" s="73" t="inlineStr">
        <is>
          <t>Vitrine loja</t>
        </is>
      </c>
      <c r="B12" s="74" t="inlineStr">
        <is>
          <t>VITRINE DA LOJA</t>
        </is>
      </c>
      <c r="C12" s="74" t="inlineStr">
        <is>
          <t>Loja / vendedor</t>
        </is>
      </c>
      <c r="D12" s="80" t="inlineStr">
        <is>
          <t>SEM DADO — canal pedido, ainda não extraído</t>
        </is>
      </c>
      <c r="E12" s="75">
        <f>'Vitrine loja'!D9</f>
        <v/>
      </c>
      <c r="F12" s="75">
        <f>'Vitrine loja'!G9</f>
        <v/>
      </c>
      <c r="G12" s="76">
        <f>'Vitrine loja'!I9</f>
        <v/>
      </c>
      <c r="H12" s="76">
        <f>'Vitrine loja'!L9</f>
        <v/>
      </c>
      <c r="I12" s="75">
        <f>'Vitrine loja'!M9</f>
        <v/>
      </c>
      <c r="J12" s="75">
        <f>'Vitrine loja'!O9</f>
        <v/>
      </c>
      <c r="K12" s="77">
        <f>IFERROR(I12/J12,0)</f>
        <v/>
      </c>
      <c r="L12" s="75">
        <f>'Vitrine loja'!Q9</f>
        <v/>
      </c>
      <c r="M12" s="78">
        <f>L12-F12</f>
        <v/>
      </c>
      <c r="N12" s="79">
        <f>IFERROR(F12/$F$16,0)</f>
        <v/>
      </c>
    </row>
    <row r="13" ht="15" customHeight="1" s="63">
      <c r="A13" s="73" t="inlineStr">
        <is>
          <t>Busca e Mall</t>
        </is>
      </c>
      <c r="B13" s="74" t="inlineStr">
        <is>
          <t>BUSCA / MALL / OUTROS</t>
        </is>
      </c>
      <c r="C13" s="74" t="inlineStr">
        <is>
          <t>Misto</t>
        </is>
      </c>
      <c r="D13" s="80" t="inlineStr">
        <is>
          <t>SEM DADO — canal pedido, ainda não extraído</t>
        </is>
      </c>
      <c r="E13" s="75">
        <f>'Busca e Mall'!D9</f>
        <v/>
      </c>
      <c r="F13" s="75">
        <f>'Busca e Mall'!G9</f>
        <v/>
      </c>
      <c r="G13" s="76">
        <f>'Busca e Mall'!I9</f>
        <v/>
      </c>
      <c r="H13" s="76">
        <f>'Busca e Mall'!L9</f>
        <v/>
      </c>
      <c r="I13" s="75">
        <f>'Busca e Mall'!M9</f>
        <v/>
      </c>
      <c r="J13" s="75">
        <f>'Busca e Mall'!O9</f>
        <v/>
      </c>
      <c r="K13" s="77">
        <f>IFERROR(I13/J13,0)</f>
        <v/>
      </c>
      <c r="L13" s="75">
        <f>'Busca e Mall'!Q9</f>
        <v/>
      </c>
      <c r="M13" s="78">
        <f>L13-F13</f>
        <v/>
      </c>
      <c r="N13" s="79">
        <f>IFERROR(F13/$F$16,0)</f>
        <v/>
      </c>
    </row>
    <row r="14" ht="15" customHeight="1" s="63">
      <c r="A14" s="81" t="inlineStr">
        <is>
          <t>NET</t>
        </is>
      </c>
      <c r="B14" s="81" t="n"/>
      <c r="C14" s="81" t="n"/>
      <c r="D14" s="81" t="n"/>
      <c r="E14" s="82">
        <f>SUM(E6:E13)</f>
        <v/>
      </c>
      <c r="F14" s="82">
        <f>SUM(F6:F13)</f>
        <v/>
      </c>
      <c r="G14" s="83">
        <f>SUM(G6:G13)</f>
        <v/>
      </c>
      <c r="H14" s="83">
        <f>SUM(H6:H13)</f>
        <v/>
      </c>
      <c r="I14" s="82">
        <f>SUM(I6:I13)</f>
        <v/>
      </c>
      <c r="J14" s="82">
        <f>SUM(J6:J13)</f>
        <v/>
      </c>
      <c r="K14" s="84">
        <f>IFERROR(I14/J14,0)</f>
        <v/>
      </c>
      <c r="L14" s="82">
        <f>SUM(L6:L13)</f>
        <v/>
      </c>
      <c r="M14" s="82">
        <f>SUM(M6:M13)</f>
        <v/>
      </c>
      <c r="N14" s="85" t="n">
        <v>1</v>
      </c>
    </row>
    <row r="16" ht="15" customHeight="1" s="63">
      <c r="A16" s="65" t="inlineStr">
        <is>
          <t>RECONCILIAÇÃO COM A META DA EMPRESA</t>
        </is>
      </c>
    </row>
    <row r="17" ht="15" customHeight="1" s="63">
      <c r="A17" s="86" t="inlineStr">
        <is>
          <t>Meta de peças do mês (Premissas)</t>
        </is>
      </c>
      <c r="B17" s="78">
        <f>Premissas!$C$13</f>
        <v/>
      </c>
    </row>
    <row r="18" ht="15" customHeight="1" s="63">
      <c r="A18" s="86" t="inlineStr">
        <is>
          <t>Bottom-up: soma das metas por canal</t>
        </is>
      </c>
      <c r="B18" s="78">
        <f>F14</f>
        <v/>
      </c>
    </row>
    <row r="19" ht="15" customHeight="1" s="63">
      <c r="A19" s="73" t="inlineStr">
        <is>
          <t>Gap descoberto</t>
        </is>
      </c>
      <c r="B19" s="87">
        <f>B17-B18</f>
        <v/>
      </c>
    </row>
    <row r="20" ht="15" customHeight="1" s="63">
      <c r="A20" s="86" t="inlineStr">
        <is>
          <t>Projeção pelo ritmo atual</t>
        </is>
      </c>
      <c r="B20" s="78">
        <f>L14</f>
        <v/>
      </c>
    </row>
    <row r="21" ht="15" customHeight="1" s="63">
      <c r="A21" s="86" t="inlineStr">
        <is>
          <t>Peças/dia necessárias para bater a meta da empresa</t>
        </is>
      </c>
      <c r="B21" s="88">
        <f>IFERROR(MAX(0,B17-I14)/Premissas!$C$9,0)</f>
        <v/>
      </c>
    </row>
    <row r="22" ht="15" customHeight="1" s="63">
      <c r="A22" s="86" t="inlineStr">
        <is>
          <t>Peças/dia no ritmo atual</t>
        </is>
      </c>
      <c r="B22" s="88">
        <f>IFERROR(I14/Premissas!$C$8,0)</f>
        <v/>
      </c>
    </row>
    <row r="24" ht="15" customHeight="1" s="63">
      <c r="A24" s="65" t="inlineStr">
        <is>
          <t>RISCOS E TRAVAS QUE A PROJEÇÃO NÃO CAPTURA</t>
        </is>
      </c>
    </row>
    <row r="25" ht="15" customHeight="1" s="63">
      <c r="A25" s="73" t="inlineStr">
        <is>
          <t>Concentração de creator</t>
        </is>
      </c>
      <c r="B25" s="71" t="inlineStr">
        <is>
          <t>A base de julho da live afiliada carrega 1.111 peças de uma única creator no primeiro mês dela e 824 de outra. Crescer +10% em cima disso assume retenção de duas pessoas. Se uma sai, o canal cai antes de crescer.</t>
        </is>
      </c>
    </row>
    <row r="26" ht="15" customHeight="1" s="63">
      <c r="A26" s="73" t="inlineStr">
        <is>
          <t>Estoque e grade</t>
        </is>
      </c>
      <c r="B26" s="71" t="inlineStr">
        <is>
          <t>Meta por SKU sem cobertura de estoque é ficção. REF516 com meta somada acima de 2.300 peças precisa de grade completa. Cancelamento por ruptura já é causa conhecida de queda.</t>
        </is>
      </c>
    </row>
    <row r="27" ht="15" customHeight="1" s="63">
      <c r="A27" s="73" t="inlineStr">
        <is>
          <t>Devolução</t>
        </is>
      </c>
      <c r="B27" s="71" t="inlineStr">
        <is>
          <t>A contribuição por peça está calculada com devolução em 0% porque o dado não está neste arquivo. Você tem devolução aberta por SKU/tamanho — enquanto não entrar em Premissas!C20, toda contribuição aqui é teto, não realidade.</t>
        </is>
      </c>
    </row>
    <row r="28" ht="15" customHeight="1" s="63">
      <c r="A28" s="73" t="inlineStr">
        <is>
          <t>Atribuição de mídia</t>
        </is>
      </c>
      <c r="B28" s="71" t="inlineStr">
        <is>
          <t>O GMV Max atribui pedidos que já viriam por afiliada e orgânico. O piso medido de inflação é ≥69% em REF516. Ler o ROI de mídia como incremental superestima o canal loja.</t>
        </is>
      </c>
    </row>
    <row r="29" ht="15" customHeight="1" s="63">
      <c r="A29" s="73" t="inlineStr">
        <is>
          <t>Base = mês de crise</t>
        </is>
      </c>
      <c r="B29" s="71" t="inlineStr">
        <is>
          <t>Julho é o mês da queda. Crescimento percentual sobre um mês ruim entrega uma meta que ainda fica abaixo do patamar de jan–abr.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E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62" min="1" max="1"/>
    <col width="38" customWidth="1" style="62" min="2" max="2"/>
    <col width="16" customWidth="1" style="62" min="3" max="4"/>
    <col width="90" customWidth="1" style="62" min="5" max="5"/>
  </cols>
  <sheetData>
    <row r="1" ht="16.15" customHeight="1" s="63">
      <c r="B1" s="64" t="inlineStr">
        <is>
          <t>PREMISSAS — todas as variáveis editáveis do modelo</t>
        </is>
      </c>
    </row>
    <row r="2" ht="15" customHeight="1" s="63">
      <c r="B2" s="71" t="inlineStr">
        <is>
          <t>Azul = você edita.  Preto = fórmula.  Verde = vem de outra aba.  Amarelo = premissa crítica não medida, precisa ser confirmada.</t>
        </is>
      </c>
    </row>
    <row r="4" ht="15" customHeight="1" s="63">
      <c r="B4" s="65" t="inlineStr">
        <is>
          <t>CALENDÁRIO</t>
        </is>
      </c>
    </row>
    <row r="5" ht="15" customHeight="1" s="63">
      <c r="B5" s="89" t="inlineStr">
        <is>
          <t>Mês de referência</t>
        </is>
      </c>
      <c r="C5" s="90" t="inlineStr">
        <is>
          <t>ago/2026</t>
        </is>
      </c>
    </row>
    <row r="6" ht="15" customHeight="1" s="63">
      <c r="B6" s="89" t="inlineStr">
        <is>
          <t>Data de hoje (editar todo dia)</t>
        </is>
      </c>
      <c r="C6" s="91" t="n">
        <v>46237</v>
      </c>
    </row>
    <row r="7" ht="15" customHeight="1" s="63">
      <c r="B7" s="89" t="inlineStr">
        <is>
          <t>Dias no mês</t>
        </is>
      </c>
      <c r="C7" s="92" t="n">
        <v>31</v>
      </c>
    </row>
    <row r="8" ht="15" customHeight="1" s="63">
      <c r="B8" s="89" t="inlineStr">
        <is>
          <t>Dias decorridos</t>
        </is>
      </c>
      <c r="C8" s="93">
        <f>DAY(C6)</f>
        <v/>
      </c>
    </row>
    <row r="9" ht="15" customHeight="1" s="63">
      <c r="B9" s="89" t="inlineStr">
        <is>
          <t>Dias restantes</t>
        </is>
      </c>
      <c r="C9" s="93">
        <f>C7-C8</f>
        <v/>
      </c>
    </row>
    <row r="10" ht="15" customHeight="1" s="63">
      <c r="B10" s="89" t="inlineStr">
        <is>
          <t>Fator de pace (linear)</t>
        </is>
      </c>
      <c r="C10" s="94">
        <f>C8/C7</f>
        <v/>
      </c>
      <c r="E10" s="71" t="inlineStr">
        <is>
          <t>Pace linear. Ago/2026 começa sáb+dom, então os 3 primeiros dias pesam MENOS que 3/31 — o índice de pace de hoje está pessimista de propósito. Trocar por curva diária quando houver histórico de dia-da-semana.</t>
        </is>
      </c>
    </row>
    <row r="12" ht="15" customHeight="1" s="63">
      <c r="B12" s="65" t="inlineStr">
        <is>
          <t>META GLOBAL DO MÊS</t>
        </is>
      </c>
    </row>
    <row r="13" ht="15" customHeight="1" s="63">
      <c r="B13" s="89" t="inlineStr">
        <is>
          <t>Meta de peças (editável)</t>
        </is>
      </c>
      <c r="C13" s="92" t="n">
        <v>10000</v>
      </c>
      <c r="E13" s="71" t="inlineStr">
        <is>
          <t>Meta declarada da operação.</t>
        </is>
      </c>
    </row>
    <row r="14" ht="15" customHeight="1" s="63">
      <c r="B14" s="89" t="inlineStr">
        <is>
          <t>Bottom-up: soma das metas por canal</t>
        </is>
      </c>
      <c r="C14" s="95">
        <f>Painel!F14</f>
        <v/>
      </c>
    </row>
    <row r="15" ht="15" customHeight="1" s="63">
      <c r="B15" s="89" t="inlineStr">
        <is>
          <t>Gap a cobrir com alavancas</t>
        </is>
      </c>
      <c r="C15" s="96">
        <f>C13-C14</f>
        <v/>
      </c>
      <c r="E15" s="71" t="inlineStr">
        <is>
          <t>Este gap é o número que importa. Enquanto ele for positivo, a meta por canal NÃO fecha a meta da empresa — é preciso alavanca, não crescimento percentual.</t>
        </is>
      </c>
    </row>
    <row r="17" ht="15" customHeight="1" s="63">
      <c r="B17" s="65" t="inlineStr">
        <is>
          <t>ECONÔMICO POR PEÇA</t>
        </is>
      </c>
    </row>
    <row r="18" ht="15" customHeight="1" s="63">
      <c r="B18" s="89" t="inlineStr">
        <is>
          <t>CPV médio (R$/peça)</t>
        </is>
      </c>
      <c r="C18" s="97" t="n">
        <v>44.3</v>
      </c>
      <c r="E18" s="71" t="inlineStr">
        <is>
          <t>Fonte: modelo de unit economics travado em jul/2026. É blended, não por SKU.</t>
        </is>
      </c>
    </row>
    <row r="19" ht="15" customHeight="1" s="63">
      <c r="B19" s="89" t="inlineStr">
        <is>
          <t>Fee TikTok Shop (%)</t>
        </is>
      </c>
      <c r="C19" s="98" t="n">
        <v>0</v>
      </c>
      <c r="E19" s="71" t="inlineStr">
        <is>
          <t>NÃO MEDIDO. Preencher com a taxa real da plataforma.</t>
        </is>
      </c>
    </row>
    <row r="20" ht="15" customHeight="1" s="63">
      <c r="B20" s="89" t="inlineStr">
        <is>
          <t>Devolução + cancelamento (%)</t>
        </is>
      </c>
      <c r="C20" s="98" t="n">
        <v>0</v>
      </c>
      <c r="E20" s="71" t="inlineStr">
        <is>
          <t>NÃO MEDIDO aqui. Você tem esse dado aberto por SKU/tamanho — jogar aqui muda toda a contribuição.</t>
        </is>
      </c>
    </row>
    <row r="21" ht="15" customHeight="1" s="63">
      <c r="B21" s="89" t="inlineStr">
        <is>
          <t>Contribuição/peça =</t>
        </is>
      </c>
      <c r="C21" s="71" t="inlineStr">
        <is>
          <t>preço × (1−fee) × (1−comissão) × (1−devolução) − CPV</t>
        </is>
      </c>
    </row>
    <row r="23" ht="15" customHeight="1" s="63">
      <c r="B23" s="65" t="inlineStr">
        <is>
          <t>POR CANAL — crescimento e comissão</t>
        </is>
      </c>
    </row>
    <row r="24" ht="15" customHeight="1" s="63">
      <c r="B24" s="68" t="inlineStr">
        <is>
          <t>Canal</t>
        </is>
      </c>
      <c r="C24" s="68" t="inlineStr">
        <is>
          <t>Crescimento vs base jul</t>
        </is>
      </c>
      <c r="D24" s="68" t="inlineStr">
        <is>
          <t>Comissão afiliada</t>
        </is>
      </c>
      <c r="E24" s="68" t="inlineStr">
        <is>
          <t>Confiança da base jul</t>
        </is>
      </c>
    </row>
    <row r="25" ht="15" customHeight="1" s="63">
      <c r="B25" s="86" t="inlineStr">
        <is>
          <t>Live afiliada</t>
        </is>
      </c>
      <c r="C25" s="99" t="n">
        <v>0.1</v>
      </c>
      <c r="D25" s="98" t="n">
        <v>0</v>
      </c>
      <c r="E25" s="100" t="inlineStr">
        <is>
          <t>EXATO — extrato de afiliada</t>
        </is>
      </c>
    </row>
    <row r="26" ht="15" customHeight="1" s="63">
      <c r="B26" s="86" t="inlineStr">
        <is>
          <t>Vídeo afiliada</t>
        </is>
      </c>
      <c r="C26" s="99" t="n">
        <v>0.3</v>
      </c>
      <c r="D26" s="98" t="n">
        <v>0</v>
      </c>
      <c r="E26" s="100" t="inlineStr">
        <is>
          <t>EXATO — extrato de afiliada</t>
        </is>
      </c>
    </row>
    <row r="27" ht="15" customHeight="1" s="63">
      <c r="B27" s="86" t="inlineStr">
        <is>
          <t>Card afiliada</t>
        </is>
      </c>
      <c r="C27" s="99" t="n">
        <v>0</v>
      </c>
      <c r="D27" s="98" t="n">
        <v>0</v>
      </c>
      <c r="E27" s="100" t="inlineStr">
        <is>
          <t>SEM DADO — não segmentado no extrato atual</t>
        </is>
      </c>
    </row>
    <row r="28" ht="15" customHeight="1" s="63">
      <c r="B28" s="86" t="inlineStr">
        <is>
          <t>Live loja</t>
        </is>
      </c>
      <c r="C28" s="99" t="n">
        <v>0.15</v>
      </c>
      <c r="D28" s="98" t="n">
        <v>0</v>
      </c>
      <c r="E28" s="100" t="inlineStr">
        <is>
          <t>ESTIMADO — split calibrado, não medido</t>
        </is>
      </c>
    </row>
    <row r="29" ht="15" customHeight="1" s="63">
      <c r="B29" s="86" t="inlineStr">
        <is>
          <t>Vídeo loja</t>
        </is>
      </c>
      <c r="C29" s="99" t="n">
        <v>0.5</v>
      </c>
      <c r="D29" s="98" t="n">
        <v>0</v>
      </c>
      <c r="E29" s="100" t="inlineStr">
        <is>
          <t>ESTIMADO — split calibrado, não medido</t>
        </is>
      </c>
    </row>
    <row r="30" ht="15" customHeight="1" s="63">
      <c r="B30" s="86" t="inlineStr">
        <is>
          <t>Card loja</t>
        </is>
      </c>
      <c r="C30" s="99" t="n">
        <v>0.2</v>
      </c>
      <c r="D30" s="98" t="n">
        <v>0</v>
      </c>
      <c r="E30" s="100" t="inlineStr">
        <is>
          <t>ESTIMADO — split calibrado, não medido</t>
        </is>
      </c>
    </row>
    <row r="31" ht="15" customHeight="1" s="63">
      <c r="B31" s="86" t="inlineStr">
        <is>
          <t>Vitrine loja</t>
        </is>
      </c>
      <c r="C31" s="99" t="n">
        <v>0</v>
      </c>
      <c r="D31" s="98" t="n">
        <v>0</v>
      </c>
      <c r="E31" s="100" t="inlineStr">
        <is>
          <t>SEM DADO — canal pedido, ainda não extraído</t>
        </is>
      </c>
    </row>
    <row r="32" ht="15" customHeight="1" s="63">
      <c r="B32" s="86" t="inlineStr">
        <is>
          <t>Busca e Mall</t>
        </is>
      </c>
      <c r="C32" s="99" t="n">
        <v>0</v>
      </c>
      <c r="D32" s="98" t="n">
        <v>0</v>
      </c>
      <c r="E32" s="100" t="inlineStr">
        <is>
          <t>SEM DADO — canal pedido, ainda não extraído</t>
        </is>
      </c>
    </row>
    <row r="34" ht="15" customHeight="1" s="63">
      <c r="B34" s="71" t="inlineStr">
        <is>
          <t>Comissão de afiliada está zerada porque não foi medida. Sem ela, a contribuição dos canais de afiliada está SUPERESTIMADA.</t>
        </is>
      </c>
    </row>
    <row r="36" ht="15" customHeight="1" s="63">
      <c r="B36" s="65" t="inlineStr">
        <is>
          <t>SOBREPOSIÇÃO DE MÍDIA (GMV Max) — não é canal</t>
        </is>
      </c>
    </row>
    <row r="37" ht="15" customHeight="1" s="63">
      <c r="B37" s="89" t="inlineStr">
        <is>
          <t>Budget de mídia planejado (R$/mês)</t>
        </is>
      </c>
      <c r="C37" s="101" t="n">
        <v>40000</v>
      </c>
    </row>
    <row r="38" ht="15" customHeight="1" s="63">
      <c r="B38" s="89" t="inlineStr">
        <is>
          <t>ROI alvo</t>
        </is>
      </c>
      <c r="C38" s="102" t="n">
        <v>7.8</v>
      </c>
    </row>
    <row r="39" ht="15" customHeight="1" s="63">
      <c r="B39" s="89" t="inlineStr">
        <is>
          <t>Receita atribuída esperada</t>
        </is>
      </c>
      <c r="C39" s="103">
        <f>C37*C38</f>
        <v/>
      </c>
    </row>
    <row r="40" ht="15" customHeight="1" s="63">
      <c r="B40" s="89" t="inlineStr">
        <is>
          <t>Inflação de atribuição (piso medido)</t>
        </is>
      </c>
      <c r="C40" s="98" t="n">
        <v>0.6899999999999999</v>
      </c>
      <c r="E40" s="71" t="inlineStr">
        <is>
          <t>Piso medido em jul/2026 (fatia de afiliada dentro da janela de 1 dia): REF516 ≥69%, REF587 ≥70%, REF588 ≥50%.</t>
        </is>
      </c>
    </row>
    <row r="41" ht="15" customHeight="1" s="63">
      <c r="B41" s="89" t="inlineStr">
        <is>
          <t>Receita incremental estimada</t>
        </is>
      </c>
      <c r="C41" s="103">
        <f>C39*(1-C40)</f>
        <v/>
      </c>
    </row>
    <row r="42" ht="15" customHeight="1" s="63">
      <c r="B42" s="71" t="inlineStr">
        <is>
          <t>GMV Max atribui pedidos que já viriam por live, vídeo e card. Por isso ele NÃO entra como linha de canal no Painel — entraria em cima dos mesmos pedidos e dobraria a contagem. Ele é uma alavanca que empurra os canais existentes. O incremental real só sai com teste de holdout.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62" min="1" max="1"/>
    <col width="16" customWidth="1" style="62" min="2" max="2"/>
    <col width="20" customWidth="1" style="62" min="3" max="3"/>
    <col width="12" customWidth="1" style="62" min="4" max="4"/>
    <col width="20" customWidth="1" style="62" min="5" max="5"/>
    <col width="12" customWidth="1" style="62" min="6" max="6"/>
    <col width="20" customWidth="1" style="62" min="7" max="7"/>
    <col width="12" customWidth="1" style="62" min="8" max="8"/>
    <col width="18" customWidth="1" style="62" min="9" max="9"/>
    <col width="16" customWidth="1" style="62" min="10" max="10"/>
    <col width="60" customWidth="1" style="62" min="11" max="11"/>
  </cols>
  <sheetData>
    <row r="1" ht="16.15" customHeight="1" s="63">
      <c r="A1" s="64" t="inlineStr">
        <is>
          <t>ALAVANCAS — como o gap fecha (driver math, não percentual)</t>
        </is>
      </c>
    </row>
    <row r="2" ht="15" customHeight="1" s="63">
      <c r="A2" s="71" t="inlineStr">
        <is>
          <t>Cada alavanca é medida em PEÇAS INCREMENTAIS sobre a base de julho. Edite os drivers em azul. O total precisa cobrir o gap do Painel — se não cobrir, a meta da empresa não fecha e isso fica visível aqui.</t>
        </is>
      </c>
    </row>
    <row r="4" ht="30" customHeight="1" s="63">
      <c r="A4" s="72" t="inlineStr">
        <is>
          <t>Alavanca</t>
        </is>
      </c>
      <c r="B4" s="72" t="inlineStr">
        <is>
          <t>Canal alvo</t>
        </is>
      </c>
      <c r="C4" s="72" t="inlineStr">
        <is>
          <t>Driver 1</t>
        </is>
      </c>
      <c r="D4" s="72" t="inlineStr">
        <is>
          <t>Valor</t>
        </is>
      </c>
      <c r="E4" s="72" t="inlineStr">
        <is>
          <t>Driver 2</t>
        </is>
      </c>
      <c r="F4" s="72" t="inlineStr">
        <is>
          <t>Valor</t>
        </is>
      </c>
      <c r="G4" s="72" t="inlineStr">
        <is>
          <t>Driver 3</t>
        </is>
      </c>
      <c r="H4" s="72" t="inlineStr">
        <is>
          <t>Valor</t>
        </is>
      </c>
      <c r="I4" s="72" t="inlineStr">
        <is>
          <t>Peças incrementais</t>
        </is>
      </c>
      <c r="J4" s="72" t="inlineStr">
        <is>
          <t>Responsável</t>
        </is>
      </c>
      <c r="K4" s="72" t="inlineStr">
        <is>
          <t>Como medir</t>
        </is>
      </c>
    </row>
    <row r="5" ht="15" customHeight="1" s="63">
      <c r="A5" s="73" t="inlineStr">
        <is>
          <t>Rhode Squad</t>
        </is>
      </c>
      <c r="B5" s="74" t="inlineStr">
        <is>
          <t>Live afiliada</t>
        </is>
      </c>
      <c r="C5" s="74" t="inlineStr">
        <is>
          <t>Creators no squad</t>
        </is>
      </c>
      <c r="D5" s="90" t="n">
        <v>12</v>
      </c>
      <c r="E5" s="74" t="inlineStr">
        <is>
          <t>Lives/creator/mês</t>
        </is>
      </c>
      <c r="F5" s="90" t="n">
        <v>12</v>
      </c>
      <c r="G5" s="74" t="inlineStr">
        <is>
          <t>Peças/live</t>
        </is>
      </c>
      <c r="H5" s="90" t="n">
        <v>8</v>
      </c>
      <c r="I5" s="104">
        <f>ROUND(D5*F5*H5,0)</f>
        <v/>
      </c>
      <c r="J5" s="74" t="n"/>
      <c r="K5" s="100" t="inlineStr">
        <is>
          <t>Peças de live atribuídas aos creators do squad no extrato</t>
        </is>
      </c>
    </row>
    <row r="6" ht="15" customHeight="1" s="63">
      <c r="A6" s="73" t="inlineStr">
        <is>
          <t>Copa Rhode Creators</t>
        </is>
      </c>
      <c r="B6" s="74" t="inlineStr">
        <is>
          <t>Vídeo afiliada</t>
        </is>
      </c>
      <c r="C6" s="74" t="inlineStr">
        <is>
          <t>Creators postando</t>
        </is>
      </c>
      <c r="D6" s="90" t="n">
        <v>60</v>
      </c>
      <c r="E6" s="74" t="inlineStr">
        <is>
          <t>Vídeos/creator/mês</t>
        </is>
      </c>
      <c r="F6" s="90" t="n">
        <v>6</v>
      </c>
      <c r="G6" s="74" t="inlineStr">
        <is>
          <t>Peças/vídeo</t>
        </is>
      </c>
      <c r="H6" s="90" t="n">
        <v>1.2</v>
      </c>
      <c r="I6" s="104">
        <f>ROUND(D6*F6*H6,0)</f>
        <v/>
      </c>
      <c r="J6" s="74" t="n"/>
      <c r="K6" s="100" t="inlineStr">
        <is>
          <t>Nº de creators com ≥1 peça de vídeo (base jul: 123)</t>
        </is>
      </c>
    </row>
    <row r="7" ht="15" customHeight="1" s="63">
      <c r="A7" s="73" t="inlineStr">
        <is>
          <t>Desova de seeding</t>
        </is>
      </c>
      <c r="B7" s="74" t="inlineStr">
        <is>
          <t>Vídeo afiliada</t>
        </is>
      </c>
      <c r="C7" s="74" t="inlineStr">
        <is>
          <t>Amostras enviadas</t>
        </is>
      </c>
      <c r="D7" s="90" t="n">
        <v>120</v>
      </c>
      <c r="E7" s="74" t="inlineStr">
        <is>
          <t>Taxa de ativação</t>
        </is>
      </c>
      <c r="F7" s="99" t="n">
        <v>0.35</v>
      </c>
      <c r="G7" s="74" t="inlineStr">
        <is>
          <t>Peças/creator ativado</t>
        </is>
      </c>
      <c r="H7" s="90" t="n">
        <v>9</v>
      </c>
      <c r="I7" s="104">
        <f>ROUND(D7*F7*H7,0)</f>
        <v/>
      </c>
      <c r="J7" s="74" t="n"/>
      <c r="K7" s="100" t="inlineStr">
        <is>
          <t>Amostras enviadas × creators que postaram em 21 dias</t>
        </is>
      </c>
    </row>
    <row r="8" ht="15" customHeight="1" s="63">
      <c r="A8" s="73" t="inlineStr">
        <is>
          <t>Lives próprias</t>
        </is>
      </c>
      <c r="B8" s="74" t="inlineStr">
        <is>
          <t>Live loja</t>
        </is>
      </c>
      <c r="C8" s="74" t="inlineStr">
        <is>
          <t>Sessões/mês</t>
        </is>
      </c>
      <c r="D8" s="90" t="n">
        <v>26</v>
      </c>
      <c r="E8" s="74" t="inlineStr">
        <is>
          <t>Horas/sessão</t>
        </is>
      </c>
      <c r="F8" s="90" t="n">
        <v>4</v>
      </c>
      <c r="G8" s="74" t="inlineStr">
        <is>
          <t>Peças/hora</t>
        </is>
      </c>
      <c r="H8" s="90" t="n">
        <v>6</v>
      </c>
      <c r="I8" s="104">
        <f>ROUND(D8*F8*H8,0)</f>
        <v/>
      </c>
      <c r="J8" s="74" t="n"/>
      <c r="K8" s="100" t="inlineStr">
        <is>
          <t>Peças da conta da loja em live</t>
        </is>
      </c>
    </row>
    <row r="9" ht="15" customHeight="1" s="63">
      <c r="A9" s="73" t="inlineStr">
        <is>
          <t>Lançamento tamanho 34</t>
        </is>
      </c>
      <c r="B9" s="74" t="inlineStr">
        <is>
          <t>Live afiliada</t>
        </is>
      </c>
      <c r="C9" s="74" t="inlineStr">
        <is>
          <t>SKUs com 34</t>
        </is>
      </c>
      <c r="D9" s="90" t="n">
        <v>3</v>
      </c>
      <c r="E9" s="74" t="inlineStr">
        <is>
          <t>Demanda perdida/mês</t>
        </is>
      </c>
      <c r="F9" s="90" t="n">
        <v>400</v>
      </c>
      <c r="G9" s="74" t="inlineStr">
        <is>
          <t>% recuperada</t>
        </is>
      </c>
      <c r="H9" s="99" t="n">
        <v>0.4</v>
      </c>
      <c r="I9" s="104">
        <f>ROUND(D9*F9*H9,0)</f>
        <v/>
      </c>
      <c r="J9" s="74" t="n"/>
      <c r="K9" s="100" t="inlineStr">
        <is>
          <t>Pedidos com falha por grade antes vs depois</t>
        </is>
      </c>
    </row>
    <row r="10" ht="15" customHeight="1" s="63">
      <c r="A10" s="73" t="inlineStr">
        <is>
          <t>Refresh de criativo GMV Max</t>
        </is>
      </c>
      <c r="B10" s="74" t="inlineStr">
        <is>
          <t>Espalha nos 3</t>
        </is>
      </c>
      <c r="C10" s="74" t="inlineStr">
        <is>
          <t>Budget (R$)</t>
        </is>
      </c>
      <c r="D10" s="90" t="n">
        <v>40000</v>
      </c>
      <c r="E10" s="74" t="inlineStr">
        <is>
          <t>ROI</t>
        </is>
      </c>
      <c r="F10" s="90" t="n">
        <v>7.8</v>
      </c>
      <c r="G10" s="74" t="inlineStr">
        <is>
          <t>Preço médio</t>
        </is>
      </c>
      <c r="H10" s="90" t="n">
        <v>80</v>
      </c>
      <c r="I10" s="104">
        <f>ROUND(D10*F10/H10*(1-Premissas!$C$40),0)</f>
        <v/>
      </c>
      <c r="J10" s="74" t="n"/>
      <c r="K10" s="100" t="inlineStr">
        <is>
          <t>budget × ROI ÷ preço, já descontada a inflação de atribuição de Premissas!C40. CAC de criativo novo vs pool antigo — validar fora do GMV Max antes</t>
        </is>
      </c>
    </row>
    <row r="11" ht="15" customHeight="1" s="63">
      <c r="A11" s="73" t="inlineStr">
        <is>
          <t>Vitrine + card organizados</t>
        </is>
      </c>
      <c r="B11" s="74" t="inlineStr">
        <is>
          <t>Vitrine loja</t>
        </is>
      </c>
      <c r="C11" s="74" t="inlineStr">
        <is>
          <t>Sessões/mês</t>
        </is>
      </c>
      <c r="D11" s="90" t="n">
        <v>0</v>
      </c>
      <c r="E11" s="74" t="inlineStr">
        <is>
          <t>CVR</t>
        </is>
      </c>
      <c r="F11" s="90" t="n">
        <v>0</v>
      </c>
      <c r="G11" s="74" t="inlineStr">
        <is>
          <t>Peças/pedido</t>
        </is>
      </c>
      <c r="H11" s="90" t="n">
        <v>1.1</v>
      </c>
      <c r="I11" s="104">
        <f>ROUND(D11*F11*H11,0)</f>
        <v/>
      </c>
      <c r="J11" s="74" t="n"/>
      <c r="K11" s="100" t="inlineStr">
        <is>
          <t>Depende de abrir a fonte no export — hoje não é medido</t>
        </is>
      </c>
    </row>
    <row r="12" ht="15" customHeight="1" s="63">
      <c r="F12" s="71" t="inlineStr">
        <is>
          <t>GMV Max: peças = budget × ROI ÷ preço. Está aqui como alavanca, não como canal.</t>
        </is>
      </c>
    </row>
    <row r="13" ht="15" customHeight="1" s="63">
      <c r="A13" s="81" t="inlineStr">
        <is>
          <t>TOTAL INCREMENTAL</t>
        </is>
      </c>
      <c r="B13" s="105" t="n"/>
      <c r="C13" s="105" t="n"/>
      <c r="D13" s="105" t="n"/>
      <c r="E13" s="105" t="n"/>
      <c r="F13" s="105" t="n"/>
      <c r="G13" s="105" t="n"/>
      <c r="H13" s="105" t="n"/>
      <c r="I13" s="82">
        <f>SUM(I5:I11)</f>
        <v/>
      </c>
      <c r="J13" s="105" t="n"/>
      <c r="K13" s="105" t="n"/>
    </row>
    <row r="15" ht="15" customHeight="1" s="63">
      <c r="A15" s="66" t="inlineStr">
        <is>
          <t>Base julho (todos os canais)</t>
        </is>
      </c>
      <c r="I15" s="95">
        <f>Painel!E14</f>
        <v/>
      </c>
    </row>
    <row r="16" ht="15" customHeight="1" s="63">
      <c r="A16" s="66" t="inlineStr">
        <is>
          <t>Base + alavancas</t>
        </is>
      </c>
      <c r="I16" s="106">
        <f>I15+I13</f>
        <v/>
      </c>
    </row>
    <row r="17" ht="15" customHeight="1" s="63">
      <c r="A17" s="66" t="inlineStr">
        <is>
          <t>Meta da empresa</t>
        </is>
      </c>
      <c r="I17" s="95">
        <f>Premissas!$C$13</f>
        <v/>
      </c>
    </row>
    <row r="18" ht="15" customHeight="1" s="63">
      <c r="A18" s="66" t="inlineStr">
        <is>
          <t>Sobra / falta</t>
        </is>
      </c>
      <c r="I18" s="96">
        <f>I16-I17</f>
        <v/>
      </c>
    </row>
    <row r="20" ht="15" customHeight="1" s="63">
      <c r="A20" s="71" t="inlineStr">
        <is>
          <t>Cuidado com dupla contagem: a alavanca de GMV Max empurra pedidos que também aparecem em live e vídeo. Se somar tudo cru, a meta infla. Trate o número dela como teto e desconte a inflação de atribuição de Premissas!C40.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Live afiliada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Live afiliada</t>
        </is>
      </c>
      <c r="C2" s="66" t="inlineStr">
        <is>
          <t>Superfície:</t>
        </is>
      </c>
      <c r="D2" s="89" t="inlineStr">
        <is>
          <t>LIVE</t>
        </is>
      </c>
      <c r="F2" s="66" t="inlineStr">
        <is>
          <t>Atribuição:</t>
        </is>
      </c>
      <c r="G2" s="89" t="inlineStr">
        <is>
          <t>Afiliada</t>
        </is>
      </c>
      <c r="I2" s="66" t="inlineStr">
        <is>
          <t>Confiança da base jul:</t>
        </is>
      </c>
      <c r="K2" s="89" t="inlineStr">
        <is>
          <t>EXATO — extrato de afiliada</t>
        </is>
      </c>
    </row>
    <row r="3" ht="15" customHeight="1" s="63">
      <c r="A3" s="66" t="inlineStr">
        <is>
          <t>Alavanca principal:</t>
        </is>
      </c>
      <c r="B3" s="89" t="inlineStr">
        <is>
          <t>Rhode Squad — squad estratégico de creators de live</t>
        </is>
      </c>
    </row>
    <row r="4" ht="15" customHeight="1" s="63">
      <c r="A4" s="66" t="inlineStr">
        <is>
          <t>Crescimento vs base:</t>
        </is>
      </c>
      <c r="B4" s="107">
        <f>Premissas!$C$25</f>
        <v/>
      </c>
      <c r="C4" s="66" t="inlineStr">
        <is>
          <t>Comissão afiliada:</t>
        </is>
      </c>
      <c r="D4" s="107">
        <f>Premissas!$D$25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G21</f>
        <v/>
      </c>
      <c r="C5" s="66" t="inlineStr">
        <is>
          <t>Meta GMV:</t>
        </is>
      </c>
      <c r="D5" s="110">
        <f>I21</f>
        <v/>
      </c>
      <c r="F5" s="66" t="inlineStr">
        <is>
          <t>Contribuição meta:</t>
        </is>
      </c>
      <c r="G5" s="110">
        <f>L21</f>
        <v/>
      </c>
      <c r="I5" s="66" t="inlineStr">
        <is>
          <t>Índice de pace:</t>
        </is>
      </c>
      <c r="K5" s="111">
        <f>P21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REF516</t>
        </is>
      </c>
      <c r="B8" s="74" t="inlineStr">
        <is>
          <t>Marmorizada</t>
        </is>
      </c>
      <c r="C8" s="74" t="inlineStr">
        <is>
          <t>H</t>
        </is>
      </c>
      <c r="D8" s="112" t="n">
        <v>1186</v>
      </c>
      <c r="E8" s="113">
        <f>IFERROR(D8/$D$21,0)</f>
        <v/>
      </c>
      <c r="F8" s="92" t="n">
        <v>0</v>
      </c>
      <c r="G8" s="112">
        <f>ROUND(D8*(1+$B$4),0)+F8</f>
        <v/>
      </c>
      <c r="H8" s="97" t="n">
        <v>72.47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73" t="inlineStr">
        <is>
          <t>REF525</t>
        </is>
      </c>
      <c r="B9" s="74" t="inlineStr">
        <is>
          <t>Stone Used</t>
        </is>
      </c>
      <c r="C9" s="74" t="inlineStr">
        <is>
          <t>H</t>
        </is>
      </c>
      <c r="D9" s="112" t="n">
        <v>912</v>
      </c>
      <c r="E9" s="113">
        <f>IFERROR(D9/$D$21,0)</f>
        <v/>
      </c>
      <c r="F9" s="92" t="n">
        <v>0</v>
      </c>
      <c r="G9" s="112">
        <f>ROUND(D9*(1+$B$4),0)+F9</f>
        <v/>
      </c>
      <c r="H9" s="97" t="n">
        <v>74.11</v>
      </c>
      <c r="I9" s="114">
        <f>G9*H9</f>
        <v/>
      </c>
      <c r="J9" s="115">
        <f>Premissas!$C$18</f>
        <v/>
      </c>
      <c r="K9" s="116">
        <f>H9*(1-Premissas!$C$19)*(1-$D$4)*(1-Premissas!$C$20)-J9</f>
        <v/>
      </c>
      <c r="L9" s="114">
        <f>G9*K9</f>
        <v/>
      </c>
      <c r="M9" s="112">
        <f>SUMIFS('Log diário'!$D:$D,'Log diário'!$B:$B,$B$2,'Log diário'!$C:$C,$A9)</f>
        <v/>
      </c>
      <c r="N9" s="114">
        <f>SUMIFS('Log diário'!$E:$E,'Log diário'!$B:$B,$B$2,'Log diário'!$C:$C,$A9)</f>
        <v/>
      </c>
      <c r="O9" s="112">
        <f>G9*Premissas!$C$10</f>
        <v/>
      </c>
      <c r="P9" s="117">
        <f>IFERROR(M9/O9,0)</f>
        <v/>
      </c>
      <c r="Q9" s="112">
        <f>IFERROR(M9/Premissas!$C$8*Premissas!$C$7,0)</f>
        <v/>
      </c>
      <c r="R9" s="112">
        <f>Q9-G9</f>
        <v/>
      </c>
      <c r="S9" s="118">
        <f>IFERROR(MAX(0,G9-M9)/Premissas!$C$9,0)</f>
        <v/>
      </c>
    </row>
    <row r="10" ht="15" customHeight="1" s="63">
      <c r="A10" s="73" t="inlineStr">
        <is>
          <t>REF527</t>
        </is>
      </c>
      <c r="B10" s="74" t="inlineStr">
        <is>
          <t>Sky Used</t>
        </is>
      </c>
      <c r="C10" s="74" t="inlineStr">
        <is>
          <t>H</t>
        </is>
      </c>
      <c r="D10" s="112" t="n">
        <v>325</v>
      </c>
      <c r="E10" s="113">
        <f>IFERROR(D10/$D$21,0)</f>
        <v/>
      </c>
      <c r="F10" s="92" t="n">
        <v>0</v>
      </c>
      <c r="G10" s="112">
        <f>ROUND(D10*(1+$B$4),0)+F10</f>
        <v/>
      </c>
      <c r="H10" s="97" t="n">
        <v>72.44</v>
      </c>
      <c r="I10" s="114">
        <f>G10*H10</f>
        <v/>
      </c>
      <c r="J10" s="115">
        <f>Premissas!$C$18</f>
        <v/>
      </c>
      <c r="K10" s="116">
        <f>H10*(1-Premissas!$C$19)*(1-$D$4)*(1-Premissas!$C$20)-J10</f>
        <v/>
      </c>
      <c r="L10" s="114">
        <f>G10*K10</f>
        <v/>
      </c>
      <c r="M10" s="112">
        <f>SUMIFS('Log diário'!$D:$D,'Log diário'!$B:$B,$B$2,'Log diário'!$C:$C,$A10)</f>
        <v/>
      </c>
      <c r="N10" s="114">
        <f>SUMIFS('Log diário'!$E:$E,'Log diário'!$B:$B,$B$2,'Log diário'!$C:$C,$A10)</f>
        <v/>
      </c>
      <c r="O10" s="112">
        <f>G10*Premissas!$C$10</f>
        <v/>
      </c>
      <c r="P10" s="117">
        <f>IFERROR(M10/O10,0)</f>
        <v/>
      </c>
      <c r="Q10" s="112">
        <f>IFERROR(M10/Premissas!$C$8*Premissas!$C$7,0)</f>
        <v/>
      </c>
      <c r="R10" s="112">
        <f>Q10-G10</f>
        <v/>
      </c>
      <c r="S10" s="118">
        <f>IFERROR(MAX(0,G10-M10)/Premissas!$C$9,0)</f>
        <v/>
      </c>
    </row>
    <row r="11" ht="15" customHeight="1" s="63">
      <c r="A11" s="73" t="inlineStr">
        <is>
          <t>REF562</t>
        </is>
      </c>
      <c r="B11" s="74" t="inlineStr">
        <is>
          <t>Chocolate</t>
        </is>
      </c>
      <c r="C11" s="74" t="inlineStr">
        <is>
          <t>E</t>
        </is>
      </c>
      <c r="D11" s="112" t="n">
        <v>70</v>
      </c>
      <c r="E11" s="113">
        <f>IFERROR(D11/$D$21,0)</f>
        <v/>
      </c>
      <c r="F11" s="92" t="n">
        <v>0</v>
      </c>
      <c r="G11" s="112">
        <f>ROUND(D11*(1+$B$4),0)+F11</f>
        <v/>
      </c>
      <c r="H11" s="97" t="n">
        <v>85.88</v>
      </c>
      <c r="I11" s="114">
        <f>G11*H11</f>
        <v/>
      </c>
      <c r="J11" s="115">
        <f>Premissas!$C$18</f>
        <v/>
      </c>
      <c r="K11" s="116">
        <f>H11*(1-Premissas!$C$19)*(1-$D$4)*(1-Premissas!$C$20)-J11</f>
        <v/>
      </c>
      <c r="L11" s="114">
        <f>G11*K11</f>
        <v/>
      </c>
      <c r="M11" s="112">
        <f>SUMIFS('Log diário'!$D:$D,'Log diário'!$B:$B,$B$2,'Log diário'!$C:$C,$A11)</f>
        <v/>
      </c>
      <c r="N11" s="114">
        <f>SUMIFS('Log diário'!$E:$E,'Log diário'!$B:$B,$B$2,'Log diário'!$C:$C,$A11)</f>
        <v/>
      </c>
      <c r="O11" s="112">
        <f>G11*Premissas!$C$10</f>
        <v/>
      </c>
      <c r="P11" s="117">
        <f>IFERROR(M11/O11,0)</f>
        <v/>
      </c>
      <c r="Q11" s="112">
        <f>IFERROR(M11/Premissas!$C$8*Premissas!$C$7,0)</f>
        <v/>
      </c>
      <c r="R11" s="112">
        <f>Q11-G11</f>
        <v/>
      </c>
      <c r="S11" s="118">
        <f>IFERROR(MAX(0,G11-M11)/Premissas!$C$9,0)</f>
        <v/>
      </c>
    </row>
    <row r="12" ht="15" customHeight="1" s="63">
      <c r="A12" s="73" t="inlineStr">
        <is>
          <t>REF551</t>
        </is>
      </c>
      <c r="B12" s="74" t="inlineStr">
        <is>
          <t>Azul Médio</t>
        </is>
      </c>
      <c r="C12" s="74" t="inlineStr">
        <is>
          <t>E</t>
        </is>
      </c>
      <c r="D12" s="112" t="n">
        <v>46</v>
      </c>
      <c r="E12" s="113">
        <f>IFERROR(D12/$D$21,0)</f>
        <v/>
      </c>
      <c r="F12" s="92" t="n">
        <v>0</v>
      </c>
      <c r="G12" s="112">
        <f>ROUND(D12*(1+$B$4),0)+F12</f>
        <v/>
      </c>
      <c r="H12" s="97" t="n">
        <v>84.51000000000001</v>
      </c>
      <c r="I12" s="114">
        <f>G12*H12</f>
        <v/>
      </c>
      <c r="J12" s="115">
        <f>Premissas!$C$18</f>
        <v/>
      </c>
      <c r="K12" s="116">
        <f>H12*(1-Premissas!$C$19)*(1-$D$4)*(1-Premissas!$C$20)-J12</f>
        <v/>
      </c>
      <c r="L12" s="114">
        <f>G12*K12</f>
        <v/>
      </c>
      <c r="M12" s="112">
        <f>SUMIFS('Log diário'!$D:$D,'Log diário'!$B:$B,$B$2,'Log diário'!$C:$C,$A12)</f>
        <v/>
      </c>
      <c r="N12" s="114">
        <f>SUMIFS('Log diário'!$E:$E,'Log diário'!$B:$B,$B$2,'Log diário'!$C:$C,$A12)</f>
        <v/>
      </c>
      <c r="O12" s="112">
        <f>G12*Premissas!$C$10</f>
        <v/>
      </c>
      <c r="P12" s="117">
        <f>IFERROR(M12/O12,0)</f>
        <v/>
      </c>
      <c r="Q12" s="112">
        <f>IFERROR(M12/Premissas!$C$8*Premissas!$C$7,0)</f>
        <v/>
      </c>
      <c r="R12" s="112">
        <f>Q12-G12</f>
        <v/>
      </c>
      <c r="S12" s="118">
        <f>IFERROR(MAX(0,G12-M12)/Premissas!$C$9,0)</f>
        <v/>
      </c>
    </row>
    <row r="13" ht="15" customHeight="1" s="63">
      <c r="A13" s="73" t="inlineStr">
        <is>
          <t>REF587</t>
        </is>
      </c>
      <c r="B13" s="74" t="inlineStr">
        <is>
          <t>Baggy Marmorizada</t>
        </is>
      </c>
      <c r="C13" s="74" t="inlineStr">
        <is>
          <t>E</t>
        </is>
      </c>
      <c r="D13" s="112" t="n">
        <v>35</v>
      </c>
      <c r="E13" s="113">
        <f>IFERROR(D13/$D$21,0)</f>
        <v/>
      </c>
      <c r="F13" s="92" t="n">
        <v>0</v>
      </c>
      <c r="G13" s="112">
        <f>ROUND(D13*(1+$B$4),0)+F13</f>
        <v/>
      </c>
      <c r="H13" s="97" t="n">
        <v>82.05</v>
      </c>
      <c r="I13" s="114">
        <f>G13*H13</f>
        <v/>
      </c>
      <c r="J13" s="115">
        <f>Premissas!$C$18</f>
        <v/>
      </c>
      <c r="K13" s="116">
        <f>H13*(1-Premissas!$C$19)*(1-$D$4)*(1-Premissas!$C$20)-J13</f>
        <v/>
      </c>
      <c r="L13" s="114">
        <f>G13*K13</f>
        <v/>
      </c>
      <c r="M13" s="112">
        <f>SUMIFS('Log diário'!$D:$D,'Log diário'!$B:$B,$B$2,'Log diário'!$C:$C,$A13)</f>
        <v/>
      </c>
      <c r="N13" s="114">
        <f>SUMIFS('Log diário'!$E:$E,'Log diário'!$B:$B,$B$2,'Log diário'!$C:$C,$A13)</f>
        <v/>
      </c>
      <c r="O13" s="112">
        <f>G13*Premissas!$C$10</f>
        <v/>
      </c>
      <c r="P13" s="117">
        <f>IFERROR(M13/O13,0)</f>
        <v/>
      </c>
      <c r="Q13" s="112">
        <f>IFERROR(M13/Premissas!$C$8*Premissas!$C$7,0)</f>
        <v/>
      </c>
      <c r="R13" s="112">
        <f>Q13-G13</f>
        <v/>
      </c>
      <c r="S13" s="118">
        <f>IFERROR(MAX(0,G13-M13)/Premissas!$C$9,0)</f>
        <v/>
      </c>
    </row>
    <row r="14" ht="15" customHeight="1" s="63">
      <c r="A14" s="73" t="inlineStr">
        <is>
          <t>REF528</t>
        </is>
      </c>
      <c r="B14" s="74" t="inlineStr">
        <is>
          <t>Wide 528</t>
        </is>
      </c>
      <c r="C14" s="74" t="inlineStr">
        <is>
          <t>E</t>
        </is>
      </c>
      <c r="D14" s="112" t="n">
        <v>28</v>
      </c>
      <c r="E14" s="113">
        <f>IFERROR(D14/$D$21,0)</f>
        <v/>
      </c>
      <c r="F14" s="92" t="n">
        <v>0</v>
      </c>
      <c r="G14" s="112">
        <f>ROUND(D14*(1+$B$4),0)+F14</f>
        <v/>
      </c>
      <c r="H14" s="97" t="n">
        <v>79.61</v>
      </c>
      <c r="I14" s="114">
        <f>G14*H14</f>
        <v/>
      </c>
      <c r="J14" s="115">
        <f>Premissas!$C$18</f>
        <v/>
      </c>
      <c r="K14" s="116">
        <f>H14*(1-Premissas!$C$19)*(1-$D$4)*(1-Premissas!$C$20)-J14</f>
        <v/>
      </c>
      <c r="L14" s="114">
        <f>G14*K14</f>
        <v/>
      </c>
      <c r="M14" s="112">
        <f>SUMIFS('Log diário'!$D:$D,'Log diário'!$B:$B,$B$2,'Log diário'!$C:$C,$A14)</f>
        <v/>
      </c>
      <c r="N14" s="114">
        <f>SUMIFS('Log diário'!$E:$E,'Log diário'!$B:$B,$B$2,'Log diário'!$C:$C,$A14)</f>
        <v/>
      </c>
      <c r="O14" s="112">
        <f>G14*Premissas!$C$10</f>
        <v/>
      </c>
      <c r="P14" s="117">
        <f>IFERROR(M14/O14,0)</f>
        <v/>
      </c>
      <c r="Q14" s="112">
        <f>IFERROR(M14/Premissas!$C$8*Premissas!$C$7,0)</f>
        <v/>
      </c>
      <c r="R14" s="112">
        <f>Q14-G14</f>
        <v/>
      </c>
      <c r="S14" s="118">
        <f>IFERROR(MAX(0,G14-M14)/Premissas!$C$9,0)</f>
        <v/>
      </c>
    </row>
    <row r="15" ht="15" customHeight="1" s="63">
      <c r="A15" s="73" t="inlineStr">
        <is>
          <t>REF588</t>
        </is>
      </c>
      <c r="B15" s="74" t="inlineStr">
        <is>
          <t>Mom Marmorizada</t>
        </is>
      </c>
      <c r="C15" s="74" t="inlineStr">
        <is>
          <t>E</t>
        </is>
      </c>
      <c r="D15" s="112" t="n">
        <v>22</v>
      </c>
      <c r="E15" s="113">
        <f>IFERROR(D15/$D$21,0)</f>
        <v/>
      </c>
      <c r="F15" s="92" t="n">
        <v>0</v>
      </c>
      <c r="G15" s="112">
        <f>ROUND(D15*(1+$B$4),0)+F15</f>
        <v/>
      </c>
      <c r="H15" s="97" t="n">
        <v>89.23999999999999</v>
      </c>
      <c r="I15" s="114">
        <f>G15*H15</f>
        <v/>
      </c>
      <c r="J15" s="115">
        <f>Premissas!$C$18</f>
        <v/>
      </c>
      <c r="K15" s="116">
        <f>H15*(1-Premissas!$C$19)*(1-$D$4)*(1-Premissas!$C$20)-J15</f>
        <v/>
      </c>
      <c r="L15" s="114">
        <f>G15*K15</f>
        <v/>
      </c>
      <c r="M15" s="112">
        <f>SUMIFS('Log diário'!$D:$D,'Log diário'!$B:$B,$B$2,'Log diário'!$C:$C,$A15)</f>
        <v/>
      </c>
      <c r="N15" s="114">
        <f>SUMIFS('Log diário'!$E:$E,'Log diário'!$B:$B,$B$2,'Log diário'!$C:$C,$A15)</f>
        <v/>
      </c>
      <c r="O15" s="112">
        <f>G15*Premissas!$C$10</f>
        <v/>
      </c>
      <c r="P15" s="117">
        <f>IFERROR(M15/O15,0)</f>
        <v/>
      </c>
      <c r="Q15" s="112">
        <f>IFERROR(M15/Premissas!$C$8*Premissas!$C$7,0)</f>
        <v/>
      </c>
      <c r="R15" s="112">
        <f>Q15-G15</f>
        <v/>
      </c>
      <c r="S15" s="118">
        <f>IFERROR(MAX(0,G15-M15)/Premissas!$C$9,0)</f>
        <v/>
      </c>
    </row>
    <row r="16" ht="15" customHeight="1" s="63">
      <c r="A16" s="73" t="inlineStr">
        <is>
          <t>REF529</t>
        </is>
      </c>
      <c r="B16" s="74" t="inlineStr">
        <is>
          <t>Wide 529</t>
        </is>
      </c>
      <c r="C16" s="74" t="inlineStr">
        <is>
          <t>E</t>
        </is>
      </c>
      <c r="D16" s="112" t="n">
        <v>19</v>
      </c>
      <c r="E16" s="113">
        <f>IFERROR(D16/$D$21,0)</f>
        <v/>
      </c>
      <c r="F16" s="92" t="n">
        <v>0</v>
      </c>
      <c r="G16" s="112">
        <f>ROUND(D16*(1+$B$4),0)+F16</f>
        <v/>
      </c>
      <c r="H16" s="97" t="n">
        <v>128.77</v>
      </c>
      <c r="I16" s="114">
        <f>G16*H16</f>
        <v/>
      </c>
      <c r="J16" s="115">
        <f>Premissas!$C$18</f>
        <v/>
      </c>
      <c r="K16" s="116">
        <f>H16*(1-Premissas!$C$19)*(1-$D$4)*(1-Premissas!$C$20)-J16</f>
        <v/>
      </c>
      <c r="L16" s="114">
        <f>G16*K16</f>
        <v/>
      </c>
      <c r="M16" s="112">
        <f>SUMIFS('Log diário'!$D:$D,'Log diário'!$B:$B,$B$2,'Log diário'!$C:$C,$A16)</f>
        <v/>
      </c>
      <c r="N16" s="114">
        <f>SUMIFS('Log diário'!$E:$E,'Log diário'!$B:$B,$B$2,'Log diário'!$C:$C,$A16)</f>
        <v/>
      </c>
      <c r="O16" s="112">
        <f>G16*Premissas!$C$10</f>
        <v/>
      </c>
      <c r="P16" s="117">
        <f>IFERROR(M16/O16,0)</f>
        <v/>
      </c>
      <c r="Q16" s="112">
        <f>IFERROR(M16/Premissas!$C$8*Premissas!$C$7,0)</f>
        <v/>
      </c>
      <c r="R16" s="112">
        <f>Q16-G16</f>
        <v/>
      </c>
      <c r="S16" s="118">
        <f>IFERROR(MAX(0,G16-M16)/Premissas!$C$9,0)</f>
        <v/>
      </c>
    </row>
    <row r="17" ht="15" customHeight="1" s="63">
      <c r="A17" s="73" t="inlineStr">
        <is>
          <t>REF549</t>
        </is>
      </c>
      <c r="B17" s="74" t="inlineStr">
        <is>
          <t>Rosa Bebê</t>
        </is>
      </c>
      <c r="C17" s="74" t="inlineStr">
        <is>
          <t>E</t>
        </is>
      </c>
      <c r="D17" s="112" t="n">
        <v>13</v>
      </c>
      <c r="E17" s="113">
        <f>IFERROR(D17/$D$21,0)</f>
        <v/>
      </c>
      <c r="F17" s="92" t="n">
        <v>0</v>
      </c>
      <c r="G17" s="112">
        <f>ROUND(D17*(1+$B$4),0)+F17</f>
        <v/>
      </c>
      <c r="H17" s="97" t="n">
        <v>99.68000000000001</v>
      </c>
      <c r="I17" s="114">
        <f>G17*H17</f>
        <v/>
      </c>
      <c r="J17" s="115">
        <f>Premissas!$C$18</f>
        <v/>
      </c>
      <c r="K17" s="116">
        <f>H17*(1-Premissas!$C$19)*(1-$D$4)*(1-Premissas!$C$20)-J17</f>
        <v/>
      </c>
      <c r="L17" s="114">
        <f>G17*K17</f>
        <v/>
      </c>
      <c r="M17" s="112">
        <f>SUMIFS('Log diário'!$D:$D,'Log diário'!$B:$B,$B$2,'Log diário'!$C:$C,$A17)</f>
        <v/>
      </c>
      <c r="N17" s="114">
        <f>SUMIFS('Log diário'!$E:$E,'Log diário'!$B:$B,$B$2,'Log diário'!$C:$C,$A17)</f>
        <v/>
      </c>
      <c r="O17" s="112">
        <f>G17*Premissas!$C$10</f>
        <v/>
      </c>
      <c r="P17" s="117">
        <f>IFERROR(M17/O17,0)</f>
        <v/>
      </c>
      <c r="Q17" s="112">
        <f>IFERROR(M17/Premissas!$C$8*Premissas!$C$7,0)</f>
        <v/>
      </c>
      <c r="R17" s="112">
        <f>Q17-G17</f>
        <v/>
      </c>
      <c r="S17" s="118">
        <f>IFERROR(MAX(0,G17-M17)/Premissas!$C$9,0)</f>
        <v/>
      </c>
    </row>
    <row r="18" ht="15" customHeight="1" s="63">
      <c r="A18" s="73" t="inlineStr">
        <is>
          <t>REF550</t>
        </is>
      </c>
      <c r="B18" s="74" t="inlineStr">
        <is>
          <t>Amarela</t>
        </is>
      </c>
      <c r="C18" s="74" t="inlineStr">
        <is>
          <t>E</t>
        </is>
      </c>
      <c r="D18" s="112" t="n">
        <v>9</v>
      </c>
      <c r="E18" s="113">
        <f>IFERROR(D18/$D$21,0)</f>
        <v/>
      </c>
      <c r="F18" s="92" t="n">
        <v>0</v>
      </c>
      <c r="G18" s="112">
        <f>ROUND(D18*(1+$B$4),0)+F18</f>
        <v/>
      </c>
      <c r="H18" s="97" t="n">
        <v>100.8</v>
      </c>
      <c r="I18" s="114">
        <f>G18*H18</f>
        <v/>
      </c>
      <c r="J18" s="115">
        <f>Premissas!$C$18</f>
        <v/>
      </c>
      <c r="K18" s="116">
        <f>H18*(1-Premissas!$C$19)*(1-$D$4)*(1-Premissas!$C$20)-J18</f>
        <v/>
      </c>
      <c r="L18" s="114">
        <f>G18*K18</f>
        <v/>
      </c>
      <c r="M18" s="112">
        <f>SUMIFS('Log diário'!$D:$D,'Log diário'!$B:$B,$B$2,'Log diário'!$C:$C,$A18)</f>
        <v/>
      </c>
      <c r="N18" s="114">
        <f>SUMIFS('Log diário'!$E:$E,'Log diário'!$B:$B,$B$2,'Log diário'!$C:$C,$A18)</f>
        <v/>
      </c>
      <c r="O18" s="112">
        <f>G18*Premissas!$C$10</f>
        <v/>
      </c>
      <c r="P18" s="117">
        <f>IFERROR(M18/O18,0)</f>
        <v/>
      </c>
      <c r="Q18" s="112">
        <f>IFERROR(M18/Premissas!$C$8*Premissas!$C$7,0)</f>
        <v/>
      </c>
      <c r="R18" s="112">
        <f>Q18-G18</f>
        <v/>
      </c>
      <c r="S18" s="118">
        <f>IFERROR(MAX(0,G18-M18)/Premissas!$C$9,0)</f>
        <v/>
      </c>
    </row>
    <row r="19" ht="15" customHeight="1" s="63">
      <c r="A19" s="73" t="inlineStr">
        <is>
          <t>REF547</t>
        </is>
      </c>
      <c r="B19" s="74" t="inlineStr">
        <is>
          <t>(sem de-para)</t>
        </is>
      </c>
      <c r="C19" s="74" t="inlineStr">
        <is>
          <t>E</t>
        </is>
      </c>
      <c r="D19" s="112" t="n">
        <v>8</v>
      </c>
      <c r="E19" s="113">
        <f>IFERROR(D19/$D$21,0)</f>
        <v/>
      </c>
      <c r="F19" s="92" t="n">
        <v>0</v>
      </c>
      <c r="G19" s="112">
        <f>ROUND(D19*(1+$B$4),0)+F19</f>
        <v/>
      </c>
      <c r="H19" s="97" t="n">
        <v>89.05</v>
      </c>
      <c r="I19" s="114">
        <f>G19*H19</f>
        <v/>
      </c>
      <c r="J19" s="115">
        <f>Premissas!$C$18</f>
        <v/>
      </c>
      <c r="K19" s="116">
        <f>H19*(1-Premissas!$C$19)*(1-$D$4)*(1-Premissas!$C$20)-J19</f>
        <v/>
      </c>
      <c r="L19" s="114">
        <f>G19*K19</f>
        <v/>
      </c>
      <c r="M19" s="112">
        <f>SUMIFS('Log diário'!$D:$D,'Log diário'!$B:$B,$B$2,'Log diário'!$C:$C,$A19)</f>
        <v/>
      </c>
      <c r="N19" s="114">
        <f>SUMIFS('Log diário'!$E:$E,'Log diário'!$B:$B,$B$2,'Log diário'!$C:$C,$A19)</f>
        <v/>
      </c>
      <c r="O19" s="112">
        <f>G19*Premissas!$C$10</f>
        <v/>
      </c>
      <c r="P19" s="117">
        <f>IFERROR(M19/O19,0)</f>
        <v/>
      </c>
      <c r="Q19" s="112">
        <f>IFERROR(M19/Premissas!$C$8*Premissas!$C$7,0)</f>
        <v/>
      </c>
      <c r="R19" s="112">
        <f>Q19-G19</f>
        <v/>
      </c>
      <c r="S19" s="118">
        <f>IFERROR(MAX(0,G19-M19)/Premissas!$C$9,0)</f>
        <v/>
      </c>
    </row>
    <row r="20" ht="15" customHeight="1" s="63">
      <c r="A20" s="73" t="inlineStr">
        <is>
          <t>CAUDA</t>
        </is>
      </c>
      <c r="B20" s="74" t="inlineStr">
        <is>
          <t>SKUs de cauda não detalhados</t>
        </is>
      </c>
      <c r="C20" s="74" t="inlineStr">
        <is>
          <t>—</t>
        </is>
      </c>
      <c r="D20" s="112" t="n">
        <v>32</v>
      </c>
      <c r="E20" s="113">
        <f>IFERROR(D20/$D$21,0)</f>
        <v/>
      </c>
      <c r="F20" s="92" t="n">
        <v>0</v>
      </c>
      <c r="G20" s="112">
        <f>ROUND(D20*(1+$B$4),0)+F20</f>
        <v/>
      </c>
      <c r="H20" s="97" t="n">
        <v>74.59999999999999</v>
      </c>
      <c r="I20" s="114">
        <f>G20*H20</f>
        <v/>
      </c>
      <c r="J20" s="115">
        <f>Premissas!$C$18</f>
        <v/>
      </c>
      <c r="K20" s="116">
        <f>H20*(1-Premissas!$C$19)*(1-$D$4)*(1-Premissas!$C$20)-J20</f>
        <v/>
      </c>
      <c r="L20" s="114">
        <f>G20*K20</f>
        <v/>
      </c>
      <c r="M20" s="112">
        <f>SUMIFS('Log diário'!$D:$D,'Log diário'!$B:$B,$B$2,'Log diário'!$C:$C,$A20)</f>
        <v/>
      </c>
      <c r="N20" s="114">
        <f>SUMIFS('Log diário'!$E:$E,'Log diário'!$B:$B,$B$2,'Log diário'!$C:$C,$A20)</f>
        <v/>
      </c>
      <c r="O20" s="112">
        <f>G20*Premissas!$C$10</f>
        <v/>
      </c>
      <c r="P20" s="117">
        <f>IFERROR(M20/O20,0)</f>
        <v/>
      </c>
      <c r="Q20" s="112">
        <f>IFERROR(M20/Premissas!$C$8*Premissas!$C$7,0)</f>
        <v/>
      </c>
      <c r="R20" s="112">
        <f>Q20-G20</f>
        <v/>
      </c>
      <c r="S20" s="118">
        <f>IFERROR(MAX(0,G20-M20)/Premissas!$C$9,0)</f>
        <v/>
      </c>
    </row>
    <row r="21" ht="15" customHeight="1" s="63">
      <c r="A21" s="81" t="inlineStr">
        <is>
          <t>TOTAL</t>
        </is>
      </c>
      <c r="B21" s="81" t="n"/>
      <c r="C21" s="81" t="n"/>
      <c r="D21" s="82">
        <f>SUM(D8:D20)</f>
        <v/>
      </c>
      <c r="E21" s="85">
        <f>SUM(E8:E20)</f>
        <v/>
      </c>
      <c r="F21" s="82">
        <f>SUM(F8:F20)</f>
        <v/>
      </c>
      <c r="G21" s="82">
        <f>SUM(G8:G20)</f>
        <v/>
      </c>
      <c r="H21" s="119" t="n"/>
      <c r="I21" s="83">
        <f>SUM(I8:I20)</f>
        <v/>
      </c>
      <c r="J21" s="119" t="n"/>
      <c r="K21" s="119" t="n"/>
      <c r="L21" s="83">
        <f>SUM(L8:L20)</f>
        <v/>
      </c>
      <c r="M21" s="82">
        <f>SUM(M8:M20)</f>
        <v/>
      </c>
      <c r="N21" s="83">
        <f>SUM(N8:N20)</f>
        <v/>
      </c>
      <c r="O21" s="82">
        <f>SUM(O8:O20)</f>
        <v/>
      </c>
      <c r="P21" s="84">
        <f>IFERROR(M21/O21,0)</f>
        <v/>
      </c>
      <c r="Q21" s="82">
        <f>SUM(Q8:Q20)</f>
        <v/>
      </c>
      <c r="R21" s="82">
        <f>SUM(R8:R20)</f>
        <v/>
      </c>
      <c r="S21" s="120">
        <f>SUM(S8:S20)</f>
        <v/>
      </c>
    </row>
    <row r="22" ht="15" customHeight="1" s="63">
      <c r="A22" s="73" t="inlineStr">
        <is>
          <t>Σ Hero</t>
        </is>
      </c>
      <c r="B22" s="74" t="n"/>
      <c r="C22" s="74" t="n"/>
      <c r="D22" s="112">
        <f>SUMIFS(D8:D20,$C$8:$C$20,"H")</f>
        <v/>
      </c>
      <c r="E22" s="74" t="n"/>
      <c r="F22" s="74" t="n"/>
      <c r="G22" s="112">
        <f>SUMIFS(G8:G20,$C$8:$C$20,"H")</f>
        <v/>
      </c>
      <c r="H22" s="74" t="n"/>
      <c r="I22" s="74" t="n"/>
      <c r="J22" s="74" t="n"/>
      <c r="K22" s="74" t="n"/>
      <c r="L22" s="114">
        <f>SUMIFS(L8:L20,$C$8:$C$20,"H")</f>
        <v/>
      </c>
    </row>
    <row r="23" ht="15" customHeight="1" s="63">
      <c r="A23" s="73" t="inlineStr">
        <is>
          <t>Σ Esteira</t>
        </is>
      </c>
      <c r="B23" s="74" t="n"/>
      <c r="C23" s="74" t="n"/>
      <c r="D23" s="112">
        <f>SUMIFS(D8:D20,$C$8:$C$20,"E")</f>
        <v/>
      </c>
      <c r="E23" s="74" t="n"/>
      <c r="F23" s="74" t="n"/>
      <c r="G23" s="112">
        <f>SUMIFS(G8:G20,$C$8:$C$20,"E")</f>
        <v/>
      </c>
      <c r="H23" s="74" t="n"/>
      <c r="I23" s="74" t="n"/>
      <c r="J23" s="74" t="n"/>
      <c r="K23" s="74" t="n"/>
      <c r="L23" s="114">
        <f>SUMIFS(L8:L20,$C$8:$C$20,"E")</f>
        <v/>
      </c>
    </row>
    <row r="25" ht="15" customHeight="1" s="63">
      <c r="A25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26" ht="15" customHeight="1" s="63">
      <c r="A26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Vídeo afiliada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Vídeo afiliada</t>
        </is>
      </c>
      <c r="C2" s="66" t="inlineStr">
        <is>
          <t>Superfície:</t>
        </is>
      </c>
      <c r="D2" s="89" t="inlineStr">
        <is>
          <t>VÍDEO</t>
        </is>
      </c>
      <c r="F2" s="66" t="inlineStr">
        <is>
          <t>Atribuição:</t>
        </is>
      </c>
      <c r="G2" s="89" t="inlineStr">
        <is>
          <t>Afiliada</t>
        </is>
      </c>
      <c r="I2" s="66" t="inlineStr">
        <is>
          <t>Confiança da base jul:</t>
        </is>
      </c>
      <c r="K2" s="89" t="inlineStr">
        <is>
          <t>EXATO — extrato de afiliada</t>
        </is>
      </c>
    </row>
    <row r="3" ht="15" customHeight="1" s="63">
      <c r="A3" s="66" t="inlineStr">
        <is>
          <t>Alavanca principal:</t>
        </is>
      </c>
      <c r="B3" s="89" t="inlineStr">
        <is>
          <t>Copa Rhode Creators (gamificação) + Academia + desova de seeding</t>
        </is>
      </c>
    </row>
    <row r="4" ht="15" customHeight="1" s="63">
      <c r="A4" s="66" t="inlineStr">
        <is>
          <t>Crescimento vs base:</t>
        </is>
      </c>
      <c r="B4" s="107">
        <f>Premissas!$C$26</f>
        <v/>
      </c>
      <c r="C4" s="66" t="inlineStr">
        <is>
          <t>Comissão afiliada:</t>
        </is>
      </c>
      <c r="D4" s="107">
        <f>Premissas!$D$26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G23</f>
        <v/>
      </c>
      <c r="C5" s="66" t="inlineStr">
        <is>
          <t>Meta GMV:</t>
        </is>
      </c>
      <c r="D5" s="110">
        <f>I23</f>
        <v/>
      </c>
      <c r="F5" s="66" t="inlineStr">
        <is>
          <t>Contribuição meta:</t>
        </is>
      </c>
      <c r="G5" s="110">
        <f>L23</f>
        <v/>
      </c>
      <c r="I5" s="66" t="inlineStr">
        <is>
          <t>Índice de pace:</t>
        </is>
      </c>
      <c r="K5" s="111">
        <f>P23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REF516</t>
        </is>
      </c>
      <c r="B8" s="74" t="inlineStr">
        <is>
          <t>Marmorizada</t>
        </is>
      </c>
      <c r="C8" s="74" t="inlineStr">
        <is>
          <t>H</t>
        </is>
      </c>
      <c r="D8" s="112" t="n">
        <v>715</v>
      </c>
      <c r="E8" s="113">
        <f>IFERROR(D8/$D$23,0)</f>
        <v/>
      </c>
      <c r="F8" s="92" t="n">
        <v>0</v>
      </c>
      <c r="G8" s="112">
        <f>ROUND(D8*(1+$B$4),0)+F8</f>
        <v/>
      </c>
      <c r="H8" s="97" t="n">
        <v>93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73" t="inlineStr">
        <is>
          <t>REF527</t>
        </is>
      </c>
      <c r="B9" s="74" t="inlineStr">
        <is>
          <t>Sky Used</t>
        </is>
      </c>
      <c r="C9" s="74" t="inlineStr">
        <is>
          <t>H</t>
        </is>
      </c>
      <c r="D9" s="112" t="n">
        <v>183</v>
      </c>
      <c r="E9" s="113">
        <f>IFERROR(D9/$D$23,0)</f>
        <v/>
      </c>
      <c r="F9" s="92" t="n">
        <v>0</v>
      </c>
      <c r="G9" s="112">
        <f>ROUND(D9*(1+$B$4),0)+F9</f>
        <v/>
      </c>
      <c r="H9" s="97" t="n">
        <v>93.73999999999999</v>
      </c>
      <c r="I9" s="114">
        <f>G9*H9</f>
        <v/>
      </c>
      <c r="J9" s="115">
        <f>Premissas!$C$18</f>
        <v/>
      </c>
      <c r="K9" s="116">
        <f>H9*(1-Premissas!$C$19)*(1-$D$4)*(1-Premissas!$C$20)-J9</f>
        <v/>
      </c>
      <c r="L9" s="114">
        <f>G9*K9</f>
        <v/>
      </c>
      <c r="M9" s="112">
        <f>SUMIFS('Log diário'!$D:$D,'Log diário'!$B:$B,$B$2,'Log diário'!$C:$C,$A9)</f>
        <v/>
      </c>
      <c r="N9" s="114">
        <f>SUMIFS('Log diário'!$E:$E,'Log diário'!$B:$B,$B$2,'Log diário'!$C:$C,$A9)</f>
        <v/>
      </c>
      <c r="O9" s="112">
        <f>G9*Premissas!$C$10</f>
        <v/>
      </c>
      <c r="P9" s="117">
        <f>IFERROR(M9/O9,0)</f>
        <v/>
      </c>
      <c r="Q9" s="112">
        <f>IFERROR(M9/Premissas!$C$8*Premissas!$C$7,0)</f>
        <v/>
      </c>
      <c r="R9" s="112">
        <f>Q9-G9</f>
        <v/>
      </c>
      <c r="S9" s="118">
        <f>IFERROR(MAX(0,G9-M9)/Premissas!$C$9,0)</f>
        <v/>
      </c>
    </row>
    <row r="10" ht="15" customHeight="1" s="63">
      <c r="A10" s="73" t="inlineStr">
        <is>
          <t>REF525</t>
        </is>
      </c>
      <c r="B10" s="74" t="inlineStr">
        <is>
          <t>Stone Used</t>
        </is>
      </c>
      <c r="C10" s="74" t="inlineStr">
        <is>
          <t>H</t>
        </is>
      </c>
      <c r="D10" s="112" t="n">
        <v>139</v>
      </c>
      <c r="E10" s="113">
        <f>IFERROR(D10/$D$23,0)</f>
        <v/>
      </c>
      <c r="F10" s="92" t="n">
        <v>0</v>
      </c>
      <c r="G10" s="112">
        <f>ROUND(D10*(1+$B$4),0)+F10</f>
        <v/>
      </c>
      <c r="H10" s="97" t="n">
        <v>98.27</v>
      </c>
      <c r="I10" s="114">
        <f>G10*H10</f>
        <v/>
      </c>
      <c r="J10" s="115">
        <f>Premissas!$C$18</f>
        <v/>
      </c>
      <c r="K10" s="116">
        <f>H10*(1-Premissas!$C$19)*(1-$D$4)*(1-Premissas!$C$20)-J10</f>
        <v/>
      </c>
      <c r="L10" s="114">
        <f>G10*K10</f>
        <v/>
      </c>
      <c r="M10" s="112">
        <f>SUMIFS('Log diário'!$D:$D,'Log diário'!$B:$B,$B$2,'Log diário'!$C:$C,$A10)</f>
        <v/>
      </c>
      <c r="N10" s="114">
        <f>SUMIFS('Log diário'!$E:$E,'Log diário'!$B:$B,$B$2,'Log diário'!$C:$C,$A10)</f>
        <v/>
      </c>
      <c r="O10" s="112">
        <f>G10*Premissas!$C$10</f>
        <v/>
      </c>
      <c r="P10" s="117">
        <f>IFERROR(M10/O10,0)</f>
        <v/>
      </c>
      <c r="Q10" s="112">
        <f>IFERROR(M10/Premissas!$C$8*Premissas!$C$7,0)</f>
        <v/>
      </c>
      <c r="R10" s="112">
        <f>Q10-G10</f>
        <v/>
      </c>
      <c r="S10" s="118">
        <f>IFERROR(MAX(0,G10-M10)/Premissas!$C$9,0)</f>
        <v/>
      </c>
    </row>
    <row r="11" ht="15" customHeight="1" s="63">
      <c r="A11" s="73" t="inlineStr">
        <is>
          <t>REF588</t>
        </is>
      </c>
      <c r="B11" s="74" t="inlineStr">
        <is>
          <t>Mom Marmorizada</t>
        </is>
      </c>
      <c r="C11" s="74" t="inlineStr">
        <is>
          <t>E</t>
        </is>
      </c>
      <c r="D11" s="112" t="n">
        <v>127</v>
      </c>
      <c r="E11" s="113">
        <f>IFERROR(D11/$D$23,0)</f>
        <v/>
      </c>
      <c r="F11" s="92" t="n">
        <v>0</v>
      </c>
      <c r="G11" s="112">
        <f>ROUND(D11*(1+$B$4),0)+F11</f>
        <v/>
      </c>
      <c r="H11" s="97" t="n">
        <v>95.76000000000001</v>
      </c>
      <c r="I11" s="114">
        <f>G11*H11</f>
        <v/>
      </c>
      <c r="J11" s="115">
        <f>Premissas!$C$18</f>
        <v/>
      </c>
      <c r="K11" s="116">
        <f>H11*(1-Premissas!$C$19)*(1-$D$4)*(1-Premissas!$C$20)-J11</f>
        <v/>
      </c>
      <c r="L11" s="114">
        <f>G11*K11</f>
        <v/>
      </c>
      <c r="M11" s="112">
        <f>SUMIFS('Log diário'!$D:$D,'Log diário'!$B:$B,$B$2,'Log diário'!$C:$C,$A11)</f>
        <v/>
      </c>
      <c r="N11" s="114">
        <f>SUMIFS('Log diário'!$E:$E,'Log diário'!$B:$B,$B$2,'Log diário'!$C:$C,$A11)</f>
        <v/>
      </c>
      <c r="O11" s="112">
        <f>G11*Premissas!$C$10</f>
        <v/>
      </c>
      <c r="P11" s="117">
        <f>IFERROR(M11/O11,0)</f>
        <v/>
      </c>
      <c r="Q11" s="112">
        <f>IFERROR(M11/Premissas!$C$8*Premissas!$C$7,0)</f>
        <v/>
      </c>
      <c r="R11" s="112">
        <f>Q11-G11</f>
        <v/>
      </c>
      <c r="S11" s="118">
        <f>IFERROR(MAX(0,G11-M11)/Premissas!$C$9,0)</f>
        <v/>
      </c>
    </row>
    <row r="12" ht="15" customHeight="1" s="63">
      <c r="A12" s="73" t="inlineStr">
        <is>
          <t>REF587</t>
        </is>
      </c>
      <c r="B12" s="74" t="inlineStr">
        <is>
          <t>Baggy Marmorizada</t>
        </is>
      </c>
      <c r="C12" s="74" t="inlineStr">
        <is>
          <t>E</t>
        </is>
      </c>
      <c r="D12" s="112" t="n">
        <v>83</v>
      </c>
      <c r="E12" s="113">
        <f>IFERROR(D12/$D$23,0)</f>
        <v/>
      </c>
      <c r="F12" s="92" t="n">
        <v>0</v>
      </c>
      <c r="G12" s="112">
        <f>ROUND(D12*(1+$B$4),0)+F12</f>
        <v/>
      </c>
      <c r="H12" s="97" t="n">
        <v>98.44</v>
      </c>
      <c r="I12" s="114">
        <f>G12*H12</f>
        <v/>
      </c>
      <c r="J12" s="115">
        <f>Premissas!$C$18</f>
        <v/>
      </c>
      <c r="K12" s="116">
        <f>H12*(1-Premissas!$C$19)*(1-$D$4)*(1-Premissas!$C$20)-J12</f>
        <v/>
      </c>
      <c r="L12" s="114">
        <f>G12*K12</f>
        <v/>
      </c>
      <c r="M12" s="112">
        <f>SUMIFS('Log diário'!$D:$D,'Log diário'!$B:$B,$B$2,'Log diário'!$C:$C,$A12)</f>
        <v/>
      </c>
      <c r="N12" s="114">
        <f>SUMIFS('Log diário'!$E:$E,'Log diário'!$B:$B,$B$2,'Log diário'!$C:$C,$A12)</f>
        <v/>
      </c>
      <c r="O12" s="112">
        <f>G12*Premissas!$C$10</f>
        <v/>
      </c>
      <c r="P12" s="117">
        <f>IFERROR(M12/O12,0)</f>
        <v/>
      </c>
      <c r="Q12" s="112">
        <f>IFERROR(M12/Premissas!$C$8*Premissas!$C$7,0)</f>
        <v/>
      </c>
      <c r="R12" s="112">
        <f>Q12-G12</f>
        <v/>
      </c>
      <c r="S12" s="118">
        <f>IFERROR(MAX(0,G12-M12)/Premissas!$C$9,0)</f>
        <v/>
      </c>
    </row>
    <row r="13" ht="15" customHeight="1" s="63">
      <c r="A13" s="73" t="inlineStr">
        <is>
          <t>REF549</t>
        </is>
      </c>
      <c r="B13" s="74" t="inlineStr">
        <is>
          <t>Rosa Bebê</t>
        </is>
      </c>
      <c r="C13" s="74" t="inlineStr">
        <is>
          <t>E</t>
        </is>
      </c>
      <c r="D13" s="112" t="n">
        <v>45</v>
      </c>
      <c r="E13" s="113">
        <f>IFERROR(D13/$D$23,0)</f>
        <v/>
      </c>
      <c r="F13" s="92" t="n">
        <v>0</v>
      </c>
      <c r="G13" s="112">
        <f>ROUND(D13*(1+$B$4),0)+F13</f>
        <v/>
      </c>
      <c r="H13" s="97" t="n">
        <v>97.23</v>
      </c>
      <c r="I13" s="114">
        <f>G13*H13</f>
        <v/>
      </c>
      <c r="J13" s="115">
        <f>Premissas!$C$18</f>
        <v/>
      </c>
      <c r="K13" s="116">
        <f>H13*(1-Premissas!$C$19)*(1-$D$4)*(1-Premissas!$C$20)-J13</f>
        <v/>
      </c>
      <c r="L13" s="114">
        <f>G13*K13</f>
        <v/>
      </c>
      <c r="M13" s="112">
        <f>SUMIFS('Log diário'!$D:$D,'Log diário'!$B:$B,$B$2,'Log diário'!$C:$C,$A13)</f>
        <v/>
      </c>
      <c r="N13" s="114">
        <f>SUMIFS('Log diário'!$E:$E,'Log diário'!$B:$B,$B$2,'Log diário'!$C:$C,$A13)</f>
        <v/>
      </c>
      <c r="O13" s="112">
        <f>G13*Premissas!$C$10</f>
        <v/>
      </c>
      <c r="P13" s="117">
        <f>IFERROR(M13/O13,0)</f>
        <v/>
      </c>
      <c r="Q13" s="112">
        <f>IFERROR(M13/Premissas!$C$8*Premissas!$C$7,0)</f>
        <v/>
      </c>
      <c r="R13" s="112">
        <f>Q13-G13</f>
        <v/>
      </c>
      <c r="S13" s="118">
        <f>IFERROR(MAX(0,G13-M13)/Premissas!$C$9,0)</f>
        <v/>
      </c>
    </row>
    <row r="14" ht="15" customHeight="1" s="63">
      <c r="A14" s="73" t="inlineStr">
        <is>
          <t>REF559</t>
        </is>
      </c>
      <c r="B14" s="74" t="inlineStr">
        <is>
          <t>Mom Rosa</t>
        </is>
      </c>
      <c r="C14" s="74" t="inlineStr">
        <is>
          <t>E</t>
        </is>
      </c>
      <c r="D14" s="112" t="n">
        <v>26</v>
      </c>
      <c r="E14" s="113">
        <f>IFERROR(D14/$D$23,0)</f>
        <v/>
      </c>
      <c r="F14" s="92" t="n">
        <v>0</v>
      </c>
      <c r="G14" s="112">
        <f>ROUND(D14*(1+$B$4),0)+F14</f>
        <v/>
      </c>
      <c r="H14" s="97" t="n">
        <v>76.3</v>
      </c>
      <c r="I14" s="114">
        <f>G14*H14</f>
        <v/>
      </c>
      <c r="J14" s="115">
        <f>Premissas!$C$18</f>
        <v/>
      </c>
      <c r="K14" s="116">
        <f>H14*(1-Premissas!$C$19)*(1-$D$4)*(1-Premissas!$C$20)-J14</f>
        <v/>
      </c>
      <c r="L14" s="114">
        <f>G14*K14</f>
        <v/>
      </c>
      <c r="M14" s="112">
        <f>SUMIFS('Log diário'!$D:$D,'Log diário'!$B:$B,$B$2,'Log diário'!$C:$C,$A14)</f>
        <v/>
      </c>
      <c r="N14" s="114">
        <f>SUMIFS('Log diário'!$E:$E,'Log diário'!$B:$B,$B$2,'Log diário'!$C:$C,$A14)</f>
        <v/>
      </c>
      <c r="O14" s="112">
        <f>G14*Premissas!$C$10</f>
        <v/>
      </c>
      <c r="P14" s="117">
        <f>IFERROR(M14/O14,0)</f>
        <v/>
      </c>
      <c r="Q14" s="112">
        <f>IFERROR(M14/Premissas!$C$8*Premissas!$C$7,0)</f>
        <v/>
      </c>
      <c r="R14" s="112">
        <f>Q14-G14</f>
        <v/>
      </c>
      <c r="S14" s="118">
        <f>IFERROR(MAX(0,G14-M14)/Premissas!$C$9,0)</f>
        <v/>
      </c>
    </row>
    <row r="15" ht="15" customHeight="1" s="63">
      <c r="A15" s="73" t="inlineStr">
        <is>
          <t>REF566</t>
        </is>
      </c>
      <c r="B15" s="74" t="inlineStr">
        <is>
          <t>Mom Choco</t>
        </is>
      </c>
      <c r="C15" s="74" t="inlineStr">
        <is>
          <t>E</t>
        </is>
      </c>
      <c r="D15" s="112" t="n">
        <v>21</v>
      </c>
      <c r="E15" s="113">
        <f>IFERROR(D15/$D$23,0)</f>
        <v/>
      </c>
      <c r="F15" s="92" t="n">
        <v>0</v>
      </c>
      <c r="G15" s="112">
        <f>ROUND(D15*(1+$B$4),0)+F15</f>
        <v/>
      </c>
      <c r="H15" s="97" t="n">
        <v>95.68000000000001</v>
      </c>
      <c r="I15" s="114">
        <f>G15*H15</f>
        <v/>
      </c>
      <c r="J15" s="115">
        <f>Premissas!$C$18</f>
        <v/>
      </c>
      <c r="K15" s="116">
        <f>H15*(1-Premissas!$C$19)*(1-$D$4)*(1-Premissas!$C$20)-J15</f>
        <v/>
      </c>
      <c r="L15" s="114">
        <f>G15*K15</f>
        <v/>
      </c>
      <c r="M15" s="112">
        <f>SUMIFS('Log diário'!$D:$D,'Log diário'!$B:$B,$B$2,'Log diário'!$C:$C,$A15)</f>
        <v/>
      </c>
      <c r="N15" s="114">
        <f>SUMIFS('Log diário'!$E:$E,'Log diário'!$B:$B,$B$2,'Log diário'!$C:$C,$A15)</f>
        <v/>
      </c>
      <c r="O15" s="112">
        <f>G15*Premissas!$C$10</f>
        <v/>
      </c>
      <c r="P15" s="117">
        <f>IFERROR(M15/O15,0)</f>
        <v/>
      </c>
      <c r="Q15" s="112">
        <f>IFERROR(M15/Premissas!$C$8*Premissas!$C$7,0)</f>
        <v/>
      </c>
      <c r="R15" s="112">
        <f>Q15-G15</f>
        <v/>
      </c>
      <c r="S15" s="118">
        <f>IFERROR(MAX(0,G15-M15)/Premissas!$C$9,0)</f>
        <v/>
      </c>
    </row>
    <row r="16" ht="15" customHeight="1" s="63">
      <c r="A16" s="73" t="inlineStr">
        <is>
          <t>REF558</t>
        </is>
      </c>
      <c r="B16" s="74" t="inlineStr">
        <is>
          <t>(sem de-para)</t>
        </is>
      </c>
      <c r="C16" s="74" t="inlineStr">
        <is>
          <t>E</t>
        </is>
      </c>
      <c r="D16" s="112" t="n">
        <v>20</v>
      </c>
      <c r="E16" s="113">
        <f>IFERROR(D16/$D$23,0)</f>
        <v/>
      </c>
      <c r="F16" s="92" t="n">
        <v>0</v>
      </c>
      <c r="G16" s="112">
        <f>ROUND(D16*(1+$B$4),0)+F16</f>
        <v/>
      </c>
      <c r="H16" s="97" t="n">
        <v>75.98999999999999</v>
      </c>
      <c r="I16" s="114">
        <f>G16*H16</f>
        <v/>
      </c>
      <c r="J16" s="115">
        <f>Premissas!$C$18</f>
        <v/>
      </c>
      <c r="K16" s="116">
        <f>H16*(1-Premissas!$C$19)*(1-$D$4)*(1-Premissas!$C$20)-J16</f>
        <v/>
      </c>
      <c r="L16" s="114">
        <f>G16*K16</f>
        <v/>
      </c>
      <c r="M16" s="112">
        <f>SUMIFS('Log diário'!$D:$D,'Log diário'!$B:$B,$B$2,'Log diário'!$C:$C,$A16)</f>
        <v/>
      </c>
      <c r="N16" s="114">
        <f>SUMIFS('Log diário'!$E:$E,'Log diário'!$B:$B,$B$2,'Log diário'!$C:$C,$A16)</f>
        <v/>
      </c>
      <c r="O16" s="112">
        <f>G16*Premissas!$C$10</f>
        <v/>
      </c>
      <c r="P16" s="117">
        <f>IFERROR(M16/O16,0)</f>
        <v/>
      </c>
      <c r="Q16" s="112">
        <f>IFERROR(M16/Premissas!$C$8*Premissas!$C$7,0)</f>
        <v/>
      </c>
      <c r="R16" s="112">
        <f>Q16-G16</f>
        <v/>
      </c>
      <c r="S16" s="118">
        <f>IFERROR(MAX(0,G16-M16)/Premissas!$C$9,0)</f>
        <v/>
      </c>
    </row>
    <row r="17" ht="15" customHeight="1" s="63">
      <c r="A17" s="73" t="inlineStr">
        <is>
          <t>REF562</t>
        </is>
      </c>
      <c r="B17" s="74" t="inlineStr">
        <is>
          <t>Chocolate</t>
        </is>
      </c>
      <c r="C17" s="74" t="inlineStr">
        <is>
          <t>E</t>
        </is>
      </c>
      <c r="D17" s="112" t="n">
        <v>20</v>
      </c>
      <c r="E17" s="113">
        <f>IFERROR(D17/$D$23,0)</f>
        <v/>
      </c>
      <c r="F17" s="92" t="n">
        <v>0</v>
      </c>
      <c r="G17" s="112">
        <f>ROUND(D17*(1+$B$4),0)+F17</f>
        <v/>
      </c>
      <c r="H17" s="97" t="n">
        <v>101.71</v>
      </c>
      <c r="I17" s="114">
        <f>G17*H17</f>
        <v/>
      </c>
      <c r="J17" s="115">
        <f>Premissas!$C$18</f>
        <v/>
      </c>
      <c r="K17" s="116">
        <f>H17*(1-Premissas!$C$19)*(1-$D$4)*(1-Premissas!$C$20)-J17</f>
        <v/>
      </c>
      <c r="L17" s="114">
        <f>G17*K17</f>
        <v/>
      </c>
      <c r="M17" s="112">
        <f>SUMIFS('Log diário'!$D:$D,'Log diário'!$B:$B,$B$2,'Log diário'!$C:$C,$A17)</f>
        <v/>
      </c>
      <c r="N17" s="114">
        <f>SUMIFS('Log diário'!$E:$E,'Log diário'!$B:$B,$B$2,'Log diário'!$C:$C,$A17)</f>
        <v/>
      </c>
      <c r="O17" s="112">
        <f>G17*Premissas!$C$10</f>
        <v/>
      </c>
      <c r="P17" s="117">
        <f>IFERROR(M17/O17,0)</f>
        <v/>
      </c>
      <c r="Q17" s="112">
        <f>IFERROR(M17/Premissas!$C$8*Premissas!$C$7,0)</f>
        <v/>
      </c>
      <c r="R17" s="112">
        <f>Q17-G17</f>
        <v/>
      </c>
      <c r="S17" s="118">
        <f>IFERROR(MAX(0,G17-M17)/Premissas!$C$9,0)</f>
        <v/>
      </c>
    </row>
    <row r="18" ht="15" customHeight="1" s="63">
      <c r="A18" s="73" t="inlineStr">
        <is>
          <t>REF550</t>
        </is>
      </c>
      <c r="B18" s="74" t="inlineStr">
        <is>
          <t>Amarela</t>
        </is>
      </c>
      <c r="C18" s="74" t="inlineStr">
        <is>
          <t>E</t>
        </is>
      </c>
      <c r="D18" s="112" t="n">
        <v>17</v>
      </c>
      <c r="E18" s="113">
        <f>IFERROR(D18/$D$23,0)</f>
        <v/>
      </c>
      <c r="F18" s="92" t="n">
        <v>0</v>
      </c>
      <c r="G18" s="112">
        <f>ROUND(D18*(1+$B$4),0)+F18</f>
        <v/>
      </c>
      <c r="H18" s="97" t="n">
        <v>101.41</v>
      </c>
      <c r="I18" s="114">
        <f>G18*H18</f>
        <v/>
      </c>
      <c r="J18" s="115">
        <f>Premissas!$C$18</f>
        <v/>
      </c>
      <c r="K18" s="116">
        <f>H18*(1-Premissas!$C$19)*(1-$D$4)*(1-Premissas!$C$20)-J18</f>
        <v/>
      </c>
      <c r="L18" s="114">
        <f>G18*K18</f>
        <v/>
      </c>
      <c r="M18" s="112">
        <f>SUMIFS('Log diário'!$D:$D,'Log diário'!$B:$B,$B$2,'Log diário'!$C:$C,$A18)</f>
        <v/>
      </c>
      <c r="N18" s="114">
        <f>SUMIFS('Log diário'!$E:$E,'Log diário'!$B:$B,$B$2,'Log diário'!$C:$C,$A18)</f>
        <v/>
      </c>
      <c r="O18" s="112">
        <f>G18*Premissas!$C$10</f>
        <v/>
      </c>
      <c r="P18" s="117">
        <f>IFERROR(M18/O18,0)</f>
        <v/>
      </c>
      <c r="Q18" s="112">
        <f>IFERROR(M18/Premissas!$C$8*Premissas!$C$7,0)</f>
        <v/>
      </c>
      <c r="R18" s="112">
        <f>Q18-G18</f>
        <v/>
      </c>
      <c r="S18" s="118">
        <f>IFERROR(MAX(0,G18-M18)/Premissas!$C$9,0)</f>
        <v/>
      </c>
    </row>
    <row r="19" ht="15" customHeight="1" s="63">
      <c r="A19" s="73" t="inlineStr">
        <is>
          <t>REF551</t>
        </is>
      </c>
      <c r="B19" s="74" t="inlineStr">
        <is>
          <t>Azul Médio</t>
        </is>
      </c>
      <c r="C19" s="74" t="inlineStr">
        <is>
          <t>E</t>
        </is>
      </c>
      <c r="D19" s="112" t="n">
        <v>16</v>
      </c>
      <c r="E19" s="113">
        <f>IFERROR(D19/$D$23,0)</f>
        <v/>
      </c>
      <c r="F19" s="92" t="n">
        <v>0</v>
      </c>
      <c r="G19" s="112">
        <f>ROUND(D19*(1+$B$4),0)+F19</f>
        <v/>
      </c>
      <c r="H19" s="97" t="n">
        <v>101.08</v>
      </c>
      <c r="I19" s="114">
        <f>G19*H19</f>
        <v/>
      </c>
      <c r="J19" s="115">
        <f>Premissas!$C$18</f>
        <v/>
      </c>
      <c r="K19" s="116">
        <f>H19*(1-Premissas!$C$19)*(1-$D$4)*(1-Premissas!$C$20)-J19</f>
        <v/>
      </c>
      <c r="L19" s="114">
        <f>G19*K19</f>
        <v/>
      </c>
      <c r="M19" s="112">
        <f>SUMIFS('Log diário'!$D:$D,'Log diário'!$B:$B,$B$2,'Log diário'!$C:$C,$A19)</f>
        <v/>
      </c>
      <c r="N19" s="114">
        <f>SUMIFS('Log diário'!$E:$E,'Log diário'!$B:$B,$B$2,'Log diário'!$C:$C,$A19)</f>
        <v/>
      </c>
      <c r="O19" s="112">
        <f>G19*Premissas!$C$10</f>
        <v/>
      </c>
      <c r="P19" s="117">
        <f>IFERROR(M19/O19,0)</f>
        <v/>
      </c>
      <c r="Q19" s="112">
        <f>IFERROR(M19/Premissas!$C$8*Premissas!$C$7,0)</f>
        <v/>
      </c>
      <c r="R19" s="112">
        <f>Q19-G19</f>
        <v/>
      </c>
      <c r="S19" s="118">
        <f>IFERROR(MAX(0,G19-M19)/Premissas!$C$9,0)</f>
        <v/>
      </c>
    </row>
    <row r="20" ht="15" customHeight="1" s="63">
      <c r="A20" s="73" t="inlineStr">
        <is>
          <t>REF528</t>
        </is>
      </c>
      <c r="B20" s="74" t="inlineStr">
        <is>
          <t>Wide 528</t>
        </is>
      </c>
      <c r="C20" s="74" t="inlineStr">
        <is>
          <t>E</t>
        </is>
      </c>
      <c r="D20" s="112" t="n">
        <v>15</v>
      </c>
      <c r="E20" s="113">
        <f>IFERROR(D20/$D$23,0)</f>
        <v/>
      </c>
      <c r="F20" s="92" t="n">
        <v>0</v>
      </c>
      <c r="G20" s="112">
        <f>ROUND(D20*(1+$B$4),0)+F20</f>
        <v/>
      </c>
      <c r="H20" s="97" t="n">
        <v>83.68000000000001</v>
      </c>
      <c r="I20" s="114">
        <f>G20*H20</f>
        <v/>
      </c>
      <c r="J20" s="115">
        <f>Premissas!$C$18</f>
        <v/>
      </c>
      <c r="K20" s="116">
        <f>H20*(1-Premissas!$C$19)*(1-$D$4)*(1-Premissas!$C$20)-J20</f>
        <v/>
      </c>
      <c r="L20" s="114">
        <f>G20*K20</f>
        <v/>
      </c>
      <c r="M20" s="112">
        <f>SUMIFS('Log diário'!$D:$D,'Log diário'!$B:$B,$B$2,'Log diário'!$C:$C,$A20)</f>
        <v/>
      </c>
      <c r="N20" s="114">
        <f>SUMIFS('Log diário'!$E:$E,'Log diário'!$B:$B,$B$2,'Log diário'!$C:$C,$A20)</f>
        <v/>
      </c>
      <c r="O20" s="112">
        <f>G20*Premissas!$C$10</f>
        <v/>
      </c>
      <c r="P20" s="117">
        <f>IFERROR(M20/O20,0)</f>
        <v/>
      </c>
      <c r="Q20" s="112">
        <f>IFERROR(M20/Premissas!$C$8*Premissas!$C$7,0)</f>
        <v/>
      </c>
      <c r="R20" s="112">
        <f>Q20-G20</f>
        <v/>
      </c>
      <c r="S20" s="118">
        <f>IFERROR(MAX(0,G20-M20)/Premissas!$C$9,0)</f>
        <v/>
      </c>
    </row>
    <row r="21" ht="15" customHeight="1" s="63">
      <c r="A21" s="73" t="inlineStr">
        <is>
          <t>REF546</t>
        </is>
      </c>
      <c r="B21" s="74" t="inlineStr">
        <is>
          <t>(sem de-para)</t>
        </is>
      </c>
      <c r="C21" s="74" t="inlineStr">
        <is>
          <t>E</t>
        </is>
      </c>
      <c r="D21" s="112" t="n">
        <v>9</v>
      </c>
      <c r="E21" s="113">
        <f>IFERROR(D21/$D$23,0)</f>
        <v/>
      </c>
      <c r="F21" s="92" t="n">
        <v>0</v>
      </c>
      <c r="G21" s="112">
        <f>ROUND(D21*(1+$B$4),0)+F21</f>
        <v/>
      </c>
      <c r="H21" s="97" t="n">
        <v>116.95</v>
      </c>
      <c r="I21" s="114">
        <f>G21*H21</f>
        <v/>
      </c>
      <c r="J21" s="115">
        <f>Premissas!$C$18</f>
        <v/>
      </c>
      <c r="K21" s="116">
        <f>H21*(1-Premissas!$C$19)*(1-$D$4)*(1-Premissas!$C$20)-J21</f>
        <v/>
      </c>
      <c r="L21" s="114">
        <f>G21*K21</f>
        <v/>
      </c>
      <c r="M21" s="112">
        <f>SUMIFS('Log diário'!$D:$D,'Log diário'!$B:$B,$B$2,'Log diário'!$C:$C,$A21)</f>
        <v/>
      </c>
      <c r="N21" s="114">
        <f>SUMIFS('Log diário'!$E:$E,'Log diário'!$B:$B,$B$2,'Log diário'!$C:$C,$A21)</f>
        <v/>
      </c>
      <c r="O21" s="112">
        <f>G21*Premissas!$C$10</f>
        <v/>
      </c>
      <c r="P21" s="117">
        <f>IFERROR(M21/O21,0)</f>
        <v/>
      </c>
      <c r="Q21" s="112">
        <f>IFERROR(M21/Premissas!$C$8*Premissas!$C$7,0)</f>
        <v/>
      </c>
      <c r="R21" s="112">
        <f>Q21-G21</f>
        <v/>
      </c>
      <c r="S21" s="118">
        <f>IFERROR(MAX(0,G21-M21)/Premissas!$C$9,0)</f>
        <v/>
      </c>
    </row>
    <row r="22" ht="15" customHeight="1" s="63">
      <c r="A22" s="73" t="inlineStr">
        <is>
          <t>CAUDA</t>
        </is>
      </c>
      <c r="B22" s="74" t="inlineStr">
        <is>
          <t>SKUs de cauda não detalhados</t>
        </is>
      </c>
      <c r="C22" s="74" t="inlineStr">
        <is>
          <t>—</t>
        </is>
      </c>
      <c r="D22" s="112" t="n">
        <v>39</v>
      </c>
      <c r="E22" s="113">
        <f>IFERROR(D22/$D$23,0)</f>
        <v/>
      </c>
      <c r="F22" s="92" t="n">
        <v>0</v>
      </c>
      <c r="G22" s="112">
        <f>ROUND(D22*(1+$B$4),0)+F22</f>
        <v/>
      </c>
      <c r="H22" s="97" t="n">
        <v>94.16</v>
      </c>
      <c r="I22" s="114">
        <f>G22*H22</f>
        <v/>
      </c>
      <c r="J22" s="115">
        <f>Premissas!$C$18</f>
        <v/>
      </c>
      <c r="K22" s="116">
        <f>H22*(1-Premissas!$C$19)*(1-$D$4)*(1-Premissas!$C$20)-J22</f>
        <v/>
      </c>
      <c r="L22" s="114">
        <f>G22*K22</f>
        <v/>
      </c>
      <c r="M22" s="112">
        <f>SUMIFS('Log diário'!$D:$D,'Log diário'!$B:$B,$B$2,'Log diário'!$C:$C,$A22)</f>
        <v/>
      </c>
      <c r="N22" s="114">
        <f>SUMIFS('Log diário'!$E:$E,'Log diário'!$B:$B,$B$2,'Log diário'!$C:$C,$A22)</f>
        <v/>
      </c>
      <c r="O22" s="112">
        <f>G22*Premissas!$C$10</f>
        <v/>
      </c>
      <c r="P22" s="117">
        <f>IFERROR(M22/O22,0)</f>
        <v/>
      </c>
      <c r="Q22" s="112">
        <f>IFERROR(M22/Premissas!$C$8*Premissas!$C$7,0)</f>
        <v/>
      </c>
      <c r="R22" s="112">
        <f>Q22-G22</f>
        <v/>
      </c>
      <c r="S22" s="118">
        <f>IFERROR(MAX(0,G22-M22)/Premissas!$C$9,0)</f>
        <v/>
      </c>
    </row>
    <row r="23" ht="15" customHeight="1" s="63">
      <c r="A23" s="81" t="inlineStr">
        <is>
          <t>TOTAL</t>
        </is>
      </c>
      <c r="B23" s="81" t="n"/>
      <c r="C23" s="81" t="n"/>
      <c r="D23" s="82">
        <f>SUM(D8:D22)</f>
        <v/>
      </c>
      <c r="E23" s="85">
        <f>SUM(E8:E22)</f>
        <v/>
      </c>
      <c r="F23" s="82">
        <f>SUM(F8:F22)</f>
        <v/>
      </c>
      <c r="G23" s="82">
        <f>SUM(G8:G22)</f>
        <v/>
      </c>
      <c r="H23" s="119" t="n"/>
      <c r="I23" s="83">
        <f>SUM(I8:I22)</f>
        <v/>
      </c>
      <c r="J23" s="119" t="n"/>
      <c r="K23" s="119" t="n"/>
      <c r="L23" s="83">
        <f>SUM(L8:L22)</f>
        <v/>
      </c>
      <c r="M23" s="82">
        <f>SUM(M8:M22)</f>
        <v/>
      </c>
      <c r="N23" s="83">
        <f>SUM(N8:N22)</f>
        <v/>
      </c>
      <c r="O23" s="82">
        <f>SUM(O8:O22)</f>
        <v/>
      </c>
      <c r="P23" s="84">
        <f>IFERROR(M23/O23,0)</f>
        <v/>
      </c>
      <c r="Q23" s="82">
        <f>SUM(Q8:Q22)</f>
        <v/>
      </c>
      <c r="R23" s="82">
        <f>SUM(R8:R22)</f>
        <v/>
      </c>
      <c r="S23" s="120">
        <f>SUM(S8:S22)</f>
        <v/>
      </c>
    </row>
    <row r="24" ht="15" customHeight="1" s="63">
      <c r="A24" s="73" t="inlineStr">
        <is>
          <t>Σ Hero</t>
        </is>
      </c>
      <c r="B24" s="74" t="n"/>
      <c r="C24" s="74" t="n"/>
      <c r="D24" s="112">
        <f>SUMIFS(D8:D22,$C$8:$C$22,"H")</f>
        <v/>
      </c>
      <c r="E24" s="74" t="n"/>
      <c r="F24" s="74" t="n"/>
      <c r="G24" s="112">
        <f>SUMIFS(G8:G22,$C$8:$C$22,"H")</f>
        <v/>
      </c>
      <c r="H24" s="74" t="n"/>
      <c r="I24" s="74" t="n"/>
      <c r="J24" s="74" t="n"/>
      <c r="K24" s="74" t="n"/>
      <c r="L24" s="114">
        <f>SUMIFS(L8:L22,$C$8:$C$22,"H")</f>
        <v/>
      </c>
    </row>
    <row r="25" ht="15" customHeight="1" s="63">
      <c r="A25" s="73" t="inlineStr">
        <is>
          <t>Σ Esteira</t>
        </is>
      </c>
      <c r="B25" s="74" t="n"/>
      <c r="C25" s="74" t="n"/>
      <c r="D25" s="112">
        <f>SUMIFS(D8:D22,$C$8:$C$22,"E")</f>
        <v/>
      </c>
      <c r="E25" s="74" t="n"/>
      <c r="F25" s="74" t="n"/>
      <c r="G25" s="112">
        <f>SUMIFS(G8:G22,$C$8:$C$22,"E")</f>
        <v/>
      </c>
      <c r="H25" s="74" t="n"/>
      <c r="I25" s="74" t="n"/>
      <c r="J25" s="74" t="n"/>
      <c r="K25" s="74" t="n"/>
      <c r="L25" s="114">
        <f>SUMIFS(L8:L22,$C$8:$C$22,"E")</f>
        <v/>
      </c>
    </row>
    <row r="27" ht="15" customHeight="1" s="63">
      <c r="A27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28" ht="15" customHeight="1" s="63">
      <c r="A28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Card afiliada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Card afiliada</t>
        </is>
      </c>
      <c r="C2" s="66" t="inlineStr">
        <is>
          <t>Superfície:</t>
        </is>
      </c>
      <c r="D2" s="89" t="inlineStr">
        <is>
          <t>CARD DE PRODUTO</t>
        </is>
      </c>
      <c r="F2" s="66" t="inlineStr">
        <is>
          <t>Atribuição:</t>
        </is>
      </c>
      <c r="G2" s="89" t="inlineStr">
        <is>
          <t>Afiliada</t>
        </is>
      </c>
      <c r="I2" s="66" t="inlineStr">
        <is>
          <t>Confiança da base jul:</t>
        </is>
      </c>
      <c r="K2" s="121" t="inlineStr">
        <is>
          <t>EXATO — afiliada showcase/card (SHOP+LINKSHARE) do extrato. ~1,5% do GMV.</t>
        </is>
      </c>
    </row>
    <row r="3" ht="15" customHeight="1" s="63">
      <c r="A3" s="66" t="inlineStr">
        <is>
          <t>Alavanca principal:</t>
        </is>
      </c>
      <c r="B3" s="89" t="inlineStr">
        <is>
          <t>A definir — depende de abrir a fonte no extrato de afiliada</t>
        </is>
      </c>
    </row>
    <row r="4" ht="15" customHeight="1" s="63">
      <c r="A4" s="66" t="inlineStr">
        <is>
          <t>Crescimento vs base:</t>
        </is>
      </c>
      <c r="B4" s="107">
        <f>Premissas!$C$27</f>
        <v/>
      </c>
      <c r="C4" s="66" t="inlineStr">
        <is>
          <t>Comissão afiliada:</t>
        </is>
      </c>
      <c r="D4" s="107">
        <f>Premissas!$D$27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G9</f>
        <v/>
      </c>
      <c r="C5" s="66" t="inlineStr">
        <is>
          <t>Meta GMV:</t>
        </is>
      </c>
      <c r="D5" s="110">
        <f>I9</f>
        <v/>
      </c>
      <c r="F5" s="66" t="inlineStr">
        <is>
          <t>Contribuição meta:</t>
        </is>
      </c>
      <c r="G5" s="110">
        <f>L9</f>
        <v/>
      </c>
      <c r="I5" s="66" t="inlineStr">
        <is>
          <t>Índice de pace:</t>
        </is>
      </c>
      <c r="K5" s="111">
        <f>P9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AGREGADO</t>
        </is>
      </c>
      <c r="B8" s="74" t="inlineStr">
        <is>
          <t>Afiliada showcase/card (SHOP+LINKSHARE)</t>
        </is>
      </c>
      <c r="C8" s="74" t="inlineStr">
        <is>
          <t>E</t>
        </is>
      </c>
      <c r="D8" s="112" t="n">
        <v>75</v>
      </c>
      <c r="E8" s="113">
        <f>IFERROR(D8/$D$9,0)</f>
        <v/>
      </c>
      <c r="F8" s="92" t="n">
        <v>0</v>
      </c>
      <c r="G8" s="112">
        <f>ROUND(D8*(1+$B$4),0)+F8</f>
        <v/>
      </c>
      <c r="H8" s="97" t="n">
        <v>94.98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81" t="inlineStr">
        <is>
          <t>TOTAL</t>
        </is>
      </c>
      <c r="B9" s="81" t="n"/>
      <c r="C9" s="81" t="n"/>
      <c r="D9" s="82">
        <f>SUM(D8:D8)</f>
        <v/>
      </c>
      <c r="E9" s="85">
        <f>SUM(E8:E8)</f>
        <v/>
      </c>
      <c r="F9" s="82">
        <f>SUM(F8:F8)</f>
        <v/>
      </c>
      <c r="G9" s="82">
        <f>SUM(G8:G8)</f>
        <v/>
      </c>
      <c r="H9" s="119" t="n"/>
      <c r="I9" s="83">
        <f>SUM(I8:I8)</f>
        <v/>
      </c>
      <c r="J9" s="119" t="n"/>
      <c r="K9" s="119" t="n"/>
      <c r="L9" s="83">
        <f>SUM(L8:L8)</f>
        <v/>
      </c>
      <c r="M9" s="82">
        <f>SUM(M8:M8)</f>
        <v/>
      </c>
      <c r="N9" s="83">
        <f>SUM(N8:N8)</f>
        <v/>
      </c>
      <c r="O9" s="82">
        <f>SUM(O8:O8)</f>
        <v/>
      </c>
      <c r="P9" s="84">
        <f>IFERROR(M9/O9,0)</f>
        <v/>
      </c>
      <c r="Q9" s="82">
        <f>SUM(Q8:Q8)</f>
        <v/>
      </c>
      <c r="R9" s="82">
        <f>SUM(R8:R8)</f>
        <v/>
      </c>
      <c r="S9" s="120">
        <f>SUM(S8:S8)</f>
        <v/>
      </c>
    </row>
    <row r="10" ht="15" customHeight="1" s="63">
      <c r="A10" s="73" t="inlineStr">
        <is>
          <t>Σ Hero</t>
        </is>
      </c>
      <c r="B10" s="74" t="n"/>
      <c r="C10" s="74" t="n"/>
      <c r="D10" s="112">
        <f>SUMIFS(D8:D8,$C$8:$C$8,"H")</f>
        <v/>
      </c>
      <c r="E10" s="74" t="n"/>
      <c r="F10" s="74" t="n"/>
      <c r="G10" s="112">
        <f>SUMIFS(G8:G8,$C$8:$C$8,"H")</f>
        <v/>
      </c>
      <c r="H10" s="74" t="n"/>
      <c r="I10" s="74" t="n"/>
      <c r="J10" s="74" t="n"/>
      <c r="K10" s="74" t="n"/>
      <c r="L10" s="114">
        <f>SUMIFS(L8:L8,$C$8:$C$8,"H")</f>
        <v/>
      </c>
    </row>
    <row r="11" ht="15" customHeight="1" s="63">
      <c r="A11" s="73" t="inlineStr">
        <is>
          <t>Σ Esteira</t>
        </is>
      </c>
      <c r="B11" s="74" t="n"/>
      <c r="C11" s="74" t="n"/>
      <c r="D11" s="112">
        <f>SUMIFS(D8:D8,$C$8:$C$8,"E")</f>
        <v/>
      </c>
      <c r="E11" s="74" t="n"/>
      <c r="F11" s="74" t="n"/>
      <c r="G11" s="112">
        <f>SUMIFS(G8:G8,$C$8:$C$8,"E")</f>
        <v/>
      </c>
      <c r="H11" s="74" t="n"/>
      <c r="I11" s="74" t="n"/>
      <c r="J11" s="74" t="n"/>
      <c r="K11" s="74" t="n"/>
      <c r="L11" s="114">
        <f>SUMIFS(L8:L8,$C$8:$C$8,"E")</f>
        <v/>
      </c>
    </row>
    <row r="13" ht="15" customHeight="1" s="63">
      <c r="A13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14" ht="15" customHeight="1" s="63">
      <c r="A14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Live loja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Live loja</t>
        </is>
      </c>
      <c r="C2" s="66" t="inlineStr">
        <is>
          <t>Superfície:</t>
        </is>
      </c>
      <c r="D2" s="89" t="inlineStr">
        <is>
          <t>LIVE</t>
        </is>
      </c>
      <c r="F2" s="66" t="inlineStr">
        <is>
          <t>Atribuição:</t>
        </is>
      </c>
      <c r="G2" s="89" t="inlineStr">
        <is>
          <t>Loja / vendedor</t>
        </is>
      </c>
      <c r="I2" s="66" t="inlineStr">
        <is>
          <t>Confiança da base jul:</t>
        </is>
      </c>
      <c r="K2" s="121" t="inlineStr">
        <is>
          <t>ESTIMADO — split calibrado, não medido</t>
        </is>
      </c>
    </row>
    <row r="3" ht="15" customHeight="1" s="63">
      <c r="A3" s="66" t="inlineStr">
        <is>
          <t>Alavanca principal:</t>
        </is>
      </c>
      <c r="B3" s="89" t="inlineStr">
        <is>
          <t>Escalar sessões próprias + restaurar mídia de live</t>
        </is>
      </c>
    </row>
    <row r="4" ht="15" customHeight="1" s="63">
      <c r="A4" s="66" t="inlineStr">
        <is>
          <t>Crescimento vs base:</t>
        </is>
      </c>
      <c r="B4" s="107">
        <f>Premissas!$C$28</f>
        <v/>
      </c>
      <c r="C4" s="66" t="inlineStr">
        <is>
          <t>Comissão afiliada:</t>
        </is>
      </c>
      <c r="D4" s="107">
        <f>Premissas!$D$28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G31</f>
        <v/>
      </c>
      <c r="C5" s="66" t="inlineStr">
        <is>
          <t>Meta GMV:</t>
        </is>
      </c>
      <c r="D5" s="110">
        <f>I31</f>
        <v/>
      </c>
      <c r="F5" s="66" t="inlineStr">
        <is>
          <t>Contribuição meta:</t>
        </is>
      </c>
      <c r="G5" s="110">
        <f>L31</f>
        <v/>
      </c>
      <c r="I5" s="66" t="inlineStr">
        <is>
          <t>Índice de pace:</t>
        </is>
      </c>
      <c r="K5" s="111">
        <f>P31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REF516</t>
        </is>
      </c>
      <c r="B8" s="74" t="inlineStr">
        <is>
          <t>Marmorizada</t>
        </is>
      </c>
      <c r="C8" s="74" t="inlineStr">
        <is>
          <t>H</t>
        </is>
      </c>
      <c r="D8" s="112" t="n">
        <v>824</v>
      </c>
      <c r="E8" s="113">
        <f>IFERROR(D8/$D$31,0)</f>
        <v/>
      </c>
      <c r="F8" s="92" t="n">
        <v>0</v>
      </c>
      <c r="G8" s="112">
        <f>ROUND(D8*(1+$B$4),0)+F8</f>
        <v/>
      </c>
      <c r="H8" s="97" t="n">
        <v>73.05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73" t="inlineStr">
        <is>
          <t>REF525</t>
        </is>
      </c>
      <c r="B9" s="74" t="inlineStr">
        <is>
          <t>Stone Used</t>
        </is>
      </c>
      <c r="C9" s="74" t="inlineStr">
        <is>
          <t>H</t>
        </is>
      </c>
      <c r="D9" s="112" t="n">
        <v>319</v>
      </c>
      <c r="E9" s="113">
        <f>IFERROR(D9/$D$31,0)</f>
        <v/>
      </c>
      <c r="F9" s="92" t="n">
        <v>0</v>
      </c>
      <c r="G9" s="112">
        <f>ROUND(D9*(1+$B$4),0)+F9</f>
        <v/>
      </c>
      <c r="H9" s="97" t="n">
        <v>73.45</v>
      </c>
      <c r="I9" s="114">
        <f>G9*H9</f>
        <v/>
      </c>
      <c r="J9" s="115">
        <f>Premissas!$C$18</f>
        <v/>
      </c>
      <c r="K9" s="116">
        <f>H9*(1-Premissas!$C$19)*(1-$D$4)*(1-Premissas!$C$20)-J9</f>
        <v/>
      </c>
      <c r="L9" s="114">
        <f>G9*K9</f>
        <v/>
      </c>
      <c r="M9" s="112">
        <f>SUMIFS('Log diário'!$D:$D,'Log diário'!$B:$B,$B$2,'Log diário'!$C:$C,$A9)</f>
        <v/>
      </c>
      <c r="N9" s="114">
        <f>SUMIFS('Log diário'!$E:$E,'Log diário'!$B:$B,$B$2,'Log diário'!$C:$C,$A9)</f>
        <v/>
      </c>
      <c r="O9" s="112">
        <f>G9*Premissas!$C$10</f>
        <v/>
      </c>
      <c r="P9" s="117">
        <f>IFERROR(M9/O9,0)</f>
        <v/>
      </c>
      <c r="Q9" s="112">
        <f>IFERROR(M9/Premissas!$C$8*Premissas!$C$7,0)</f>
        <v/>
      </c>
      <c r="R9" s="112">
        <f>Q9-G9</f>
        <v/>
      </c>
      <c r="S9" s="118">
        <f>IFERROR(MAX(0,G9-M9)/Premissas!$C$9,0)</f>
        <v/>
      </c>
    </row>
    <row r="10" ht="15" customHeight="1" s="63">
      <c r="A10" s="73" t="inlineStr">
        <is>
          <t>REF527</t>
        </is>
      </c>
      <c r="B10" s="74" t="inlineStr">
        <is>
          <t>Sky Used</t>
        </is>
      </c>
      <c r="C10" s="74" t="inlineStr">
        <is>
          <t>H</t>
        </is>
      </c>
      <c r="D10" s="112" t="n">
        <v>238</v>
      </c>
      <c r="E10" s="113">
        <f>IFERROR(D10/$D$31,0)</f>
        <v/>
      </c>
      <c r="F10" s="92" t="n">
        <v>0</v>
      </c>
      <c r="G10" s="112">
        <f>ROUND(D10*(1+$B$4),0)+F10</f>
        <v/>
      </c>
      <c r="H10" s="97" t="n">
        <v>72.79000000000001</v>
      </c>
      <c r="I10" s="114">
        <f>G10*H10</f>
        <v/>
      </c>
      <c r="J10" s="115">
        <f>Premissas!$C$18</f>
        <v/>
      </c>
      <c r="K10" s="116">
        <f>H10*(1-Premissas!$C$19)*(1-$D$4)*(1-Premissas!$C$20)-J10</f>
        <v/>
      </c>
      <c r="L10" s="114">
        <f>G10*K10</f>
        <v/>
      </c>
      <c r="M10" s="112">
        <f>SUMIFS('Log diário'!$D:$D,'Log diário'!$B:$B,$B$2,'Log diário'!$C:$C,$A10)</f>
        <v/>
      </c>
      <c r="N10" s="114">
        <f>SUMIFS('Log diário'!$E:$E,'Log diário'!$B:$B,$B$2,'Log diário'!$C:$C,$A10)</f>
        <v/>
      </c>
      <c r="O10" s="112">
        <f>G10*Premissas!$C$10</f>
        <v/>
      </c>
      <c r="P10" s="117">
        <f>IFERROR(M10/O10,0)</f>
        <v/>
      </c>
      <c r="Q10" s="112">
        <f>IFERROR(M10/Premissas!$C$8*Premissas!$C$7,0)</f>
        <v/>
      </c>
      <c r="R10" s="112">
        <f>Q10-G10</f>
        <v/>
      </c>
      <c r="S10" s="118">
        <f>IFERROR(MAX(0,G10-M10)/Premissas!$C$9,0)</f>
        <v/>
      </c>
    </row>
    <row r="11" ht="15" customHeight="1" s="63">
      <c r="A11" s="73" t="inlineStr">
        <is>
          <t>REF551</t>
        </is>
      </c>
      <c r="B11" s="74" t="inlineStr">
        <is>
          <t>Azul Médio</t>
        </is>
      </c>
      <c r="C11" s="74" t="inlineStr">
        <is>
          <t>E</t>
        </is>
      </c>
      <c r="D11" s="112" t="n">
        <v>156</v>
      </c>
      <c r="E11" s="113">
        <f>IFERROR(D11/$D$31,0)</f>
        <v/>
      </c>
      <c r="F11" s="92" t="n">
        <v>0</v>
      </c>
      <c r="G11" s="112">
        <f>ROUND(D11*(1+$B$4),0)+F11</f>
        <v/>
      </c>
      <c r="H11" s="97" t="n">
        <v>85.11</v>
      </c>
      <c r="I11" s="114">
        <f>G11*H11</f>
        <v/>
      </c>
      <c r="J11" s="115">
        <f>Premissas!$C$18</f>
        <v/>
      </c>
      <c r="K11" s="116">
        <f>H11*(1-Premissas!$C$19)*(1-$D$4)*(1-Premissas!$C$20)-J11</f>
        <v/>
      </c>
      <c r="L11" s="114">
        <f>G11*K11</f>
        <v/>
      </c>
      <c r="M11" s="112">
        <f>SUMIFS('Log diário'!$D:$D,'Log diário'!$B:$B,$B$2,'Log diário'!$C:$C,$A11)</f>
        <v/>
      </c>
      <c r="N11" s="114">
        <f>SUMIFS('Log diário'!$E:$E,'Log diário'!$B:$B,$B$2,'Log diário'!$C:$C,$A11)</f>
        <v/>
      </c>
      <c r="O11" s="112">
        <f>G11*Premissas!$C$10</f>
        <v/>
      </c>
      <c r="P11" s="117">
        <f>IFERROR(M11/O11,0)</f>
        <v/>
      </c>
      <c r="Q11" s="112">
        <f>IFERROR(M11/Premissas!$C$8*Premissas!$C$7,0)</f>
        <v/>
      </c>
      <c r="R11" s="112">
        <f>Q11-G11</f>
        <v/>
      </c>
      <c r="S11" s="118">
        <f>IFERROR(MAX(0,G11-M11)/Premissas!$C$9,0)</f>
        <v/>
      </c>
    </row>
    <row r="12" ht="15" customHeight="1" s="63">
      <c r="A12" s="73" t="inlineStr">
        <is>
          <t>REF588</t>
        </is>
      </c>
      <c r="B12" s="74" t="inlineStr">
        <is>
          <t>Mom Marmorizada</t>
        </is>
      </c>
      <c r="C12" s="74" t="inlineStr">
        <is>
          <t>E</t>
        </is>
      </c>
      <c r="D12" s="112" t="n">
        <v>136</v>
      </c>
      <c r="E12" s="113">
        <f>IFERROR(D12/$D$31,0)</f>
        <v/>
      </c>
      <c r="F12" s="92" t="n">
        <v>0</v>
      </c>
      <c r="G12" s="112">
        <f>ROUND(D12*(1+$B$4),0)+F12</f>
        <v/>
      </c>
      <c r="H12" s="97" t="n">
        <v>85.13</v>
      </c>
      <c r="I12" s="114">
        <f>G12*H12</f>
        <v/>
      </c>
      <c r="J12" s="115">
        <f>Premissas!$C$18</f>
        <v/>
      </c>
      <c r="K12" s="116">
        <f>H12*(1-Premissas!$C$19)*(1-$D$4)*(1-Premissas!$C$20)-J12</f>
        <v/>
      </c>
      <c r="L12" s="114">
        <f>G12*K12</f>
        <v/>
      </c>
      <c r="M12" s="112">
        <f>SUMIFS('Log diário'!$D:$D,'Log diário'!$B:$B,$B$2,'Log diário'!$C:$C,$A12)</f>
        <v/>
      </c>
      <c r="N12" s="114">
        <f>SUMIFS('Log diário'!$E:$E,'Log diário'!$B:$B,$B$2,'Log diário'!$C:$C,$A12)</f>
        <v/>
      </c>
      <c r="O12" s="112">
        <f>G12*Premissas!$C$10</f>
        <v/>
      </c>
      <c r="P12" s="117">
        <f>IFERROR(M12/O12,0)</f>
        <v/>
      </c>
      <c r="Q12" s="112">
        <f>IFERROR(M12/Premissas!$C$8*Premissas!$C$7,0)</f>
        <v/>
      </c>
      <c r="R12" s="112">
        <f>Q12-G12</f>
        <v/>
      </c>
      <c r="S12" s="118">
        <f>IFERROR(MAX(0,G12-M12)/Premissas!$C$9,0)</f>
        <v/>
      </c>
    </row>
    <row r="13" ht="15" customHeight="1" s="63">
      <c r="A13" s="73" t="inlineStr">
        <is>
          <t>REF528</t>
        </is>
      </c>
      <c r="B13" s="74" t="inlineStr">
        <is>
          <t>Wide 528</t>
        </is>
      </c>
      <c r="C13" s="74" t="inlineStr">
        <is>
          <t>E</t>
        </is>
      </c>
      <c r="D13" s="112" t="n">
        <v>135</v>
      </c>
      <c r="E13" s="113">
        <f>IFERROR(D13/$D$31,0)</f>
        <v/>
      </c>
      <c r="F13" s="92" t="n">
        <v>0</v>
      </c>
      <c r="G13" s="112">
        <f>ROUND(D13*(1+$B$4),0)+F13</f>
        <v/>
      </c>
      <c r="H13" s="97" t="n">
        <v>80.48</v>
      </c>
      <c r="I13" s="114">
        <f>G13*H13</f>
        <v/>
      </c>
      <c r="J13" s="115">
        <f>Premissas!$C$18</f>
        <v/>
      </c>
      <c r="K13" s="116">
        <f>H13*(1-Premissas!$C$19)*(1-$D$4)*(1-Premissas!$C$20)-J13</f>
        <v/>
      </c>
      <c r="L13" s="114">
        <f>G13*K13</f>
        <v/>
      </c>
      <c r="M13" s="112">
        <f>SUMIFS('Log diário'!$D:$D,'Log diário'!$B:$B,$B$2,'Log diário'!$C:$C,$A13)</f>
        <v/>
      </c>
      <c r="N13" s="114">
        <f>SUMIFS('Log diário'!$E:$E,'Log diário'!$B:$B,$B$2,'Log diário'!$C:$C,$A13)</f>
        <v/>
      </c>
      <c r="O13" s="112">
        <f>G13*Premissas!$C$10</f>
        <v/>
      </c>
      <c r="P13" s="117">
        <f>IFERROR(M13/O13,0)</f>
        <v/>
      </c>
      <c r="Q13" s="112">
        <f>IFERROR(M13/Premissas!$C$8*Premissas!$C$7,0)</f>
        <v/>
      </c>
      <c r="R13" s="112">
        <f>Q13-G13</f>
        <v/>
      </c>
      <c r="S13" s="118">
        <f>IFERROR(MAX(0,G13-M13)/Premissas!$C$9,0)</f>
        <v/>
      </c>
    </row>
    <row r="14" ht="15" customHeight="1" s="63">
      <c r="A14" s="73" t="inlineStr">
        <is>
          <t>REF562</t>
        </is>
      </c>
      <c r="B14" s="74" t="inlineStr">
        <is>
          <t>Chocolate</t>
        </is>
      </c>
      <c r="C14" s="74" t="inlineStr">
        <is>
          <t>E</t>
        </is>
      </c>
      <c r="D14" s="112" t="n">
        <v>86</v>
      </c>
      <c r="E14" s="113">
        <f>IFERROR(D14/$D$31,0)</f>
        <v/>
      </c>
      <c r="F14" s="92" t="n">
        <v>0</v>
      </c>
      <c r="G14" s="112">
        <f>ROUND(D14*(1+$B$4),0)+F14</f>
        <v/>
      </c>
      <c r="H14" s="97" t="n">
        <v>85.63</v>
      </c>
      <c r="I14" s="114">
        <f>G14*H14</f>
        <v/>
      </c>
      <c r="J14" s="115">
        <f>Premissas!$C$18</f>
        <v/>
      </c>
      <c r="K14" s="116">
        <f>H14*(1-Premissas!$C$19)*(1-$D$4)*(1-Premissas!$C$20)-J14</f>
        <v/>
      </c>
      <c r="L14" s="114">
        <f>G14*K14</f>
        <v/>
      </c>
      <c r="M14" s="112">
        <f>SUMIFS('Log diário'!$D:$D,'Log diário'!$B:$B,$B$2,'Log diário'!$C:$C,$A14)</f>
        <v/>
      </c>
      <c r="N14" s="114">
        <f>SUMIFS('Log diário'!$E:$E,'Log diário'!$B:$B,$B$2,'Log diário'!$C:$C,$A14)</f>
        <v/>
      </c>
      <c r="O14" s="112">
        <f>G14*Premissas!$C$10</f>
        <v/>
      </c>
      <c r="P14" s="117">
        <f>IFERROR(M14/O14,0)</f>
        <v/>
      </c>
      <c r="Q14" s="112">
        <f>IFERROR(M14/Premissas!$C$8*Premissas!$C$7,0)</f>
        <v/>
      </c>
      <c r="R14" s="112">
        <f>Q14-G14</f>
        <v/>
      </c>
      <c r="S14" s="118">
        <f>IFERROR(MAX(0,G14-M14)/Premissas!$C$9,0)</f>
        <v/>
      </c>
    </row>
    <row r="15" ht="15" customHeight="1" s="63">
      <c r="A15" s="73" t="inlineStr">
        <is>
          <t>REF587</t>
        </is>
      </c>
      <c r="B15" s="74" t="inlineStr">
        <is>
          <t>Baggy Marmorizada</t>
        </is>
      </c>
      <c r="C15" s="74" t="inlineStr">
        <is>
          <t>E</t>
        </is>
      </c>
      <c r="D15" s="112" t="n">
        <v>51</v>
      </c>
      <c r="E15" s="113">
        <f>IFERROR(D15/$D$31,0)</f>
        <v/>
      </c>
      <c r="F15" s="92" t="n">
        <v>0</v>
      </c>
      <c r="G15" s="112">
        <f>ROUND(D15*(1+$B$4),0)+F15</f>
        <v/>
      </c>
      <c r="H15" s="97" t="n">
        <v>75.73</v>
      </c>
      <c r="I15" s="114">
        <f>G15*H15</f>
        <v/>
      </c>
      <c r="J15" s="115">
        <f>Premissas!$C$18</f>
        <v/>
      </c>
      <c r="K15" s="116">
        <f>H15*(1-Premissas!$C$19)*(1-$D$4)*(1-Premissas!$C$20)-J15</f>
        <v/>
      </c>
      <c r="L15" s="114">
        <f>G15*K15</f>
        <v/>
      </c>
      <c r="M15" s="112">
        <f>SUMIFS('Log diário'!$D:$D,'Log diário'!$B:$B,$B$2,'Log diário'!$C:$C,$A15)</f>
        <v/>
      </c>
      <c r="N15" s="114">
        <f>SUMIFS('Log diário'!$E:$E,'Log diário'!$B:$B,$B$2,'Log diário'!$C:$C,$A15)</f>
        <v/>
      </c>
      <c r="O15" s="112">
        <f>G15*Premissas!$C$10</f>
        <v/>
      </c>
      <c r="P15" s="117">
        <f>IFERROR(M15/O15,0)</f>
        <v/>
      </c>
      <c r="Q15" s="112">
        <f>IFERROR(M15/Premissas!$C$8*Premissas!$C$7,0)</f>
        <v/>
      </c>
      <c r="R15" s="112">
        <f>Q15-G15</f>
        <v/>
      </c>
      <c r="S15" s="118">
        <f>IFERROR(MAX(0,G15-M15)/Premissas!$C$9,0)</f>
        <v/>
      </c>
    </row>
    <row r="16" ht="15" customHeight="1" s="63">
      <c r="A16" s="73" t="inlineStr">
        <is>
          <t>REF547</t>
        </is>
      </c>
      <c r="B16" s="74" t="inlineStr">
        <is>
          <t>(sem de-para)</t>
        </is>
      </c>
      <c r="C16" s="74" t="inlineStr">
        <is>
          <t>E</t>
        </is>
      </c>
      <c r="D16" s="112" t="n">
        <v>51</v>
      </c>
      <c r="E16" s="113">
        <f>IFERROR(D16/$D$31,0)</f>
        <v/>
      </c>
      <c r="F16" s="92" t="n">
        <v>0</v>
      </c>
      <c r="G16" s="112">
        <f>ROUND(D16*(1+$B$4),0)+F16</f>
        <v/>
      </c>
      <c r="H16" s="97" t="n">
        <v>84.83</v>
      </c>
      <c r="I16" s="114">
        <f>G16*H16</f>
        <v/>
      </c>
      <c r="J16" s="115">
        <f>Premissas!$C$18</f>
        <v/>
      </c>
      <c r="K16" s="116">
        <f>H16*(1-Premissas!$C$19)*(1-$D$4)*(1-Premissas!$C$20)-J16</f>
        <v/>
      </c>
      <c r="L16" s="114">
        <f>G16*K16</f>
        <v/>
      </c>
      <c r="M16" s="112">
        <f>SUMIFS('Log diário'!$D:$D,'Log diário'!$B:$B,$B$2,'Log diário'!$C:$C,$A16)</f>
        <v/>
      </c>
      <c r="N16" s="114">
        <f>SUMIFS('Log diário'!$E:$E,'Log diário'!$B:$B,$B$2,'Log diário'!$C:$C,$A16)</f>
        <v/>
      </c>
      <c r="O16" s="112">
        <f>G16*Premissas!$C$10</f>
        <v/>
      </c>
      <c r="P16" s="117">
        <f>IFERROR(M16/O16,0)</f>
        <v/>
      </c>
      <c r="Q16" s="112">
        <f>IFERROR(M16/Premissas!$C$8*Premissas!$C$7,0)</f>
        <v/>
      </c>
      <c r="R16" s="112">
        <f>Q16-G16</f>
        <v/>
      </c>
      <c r="S16" s="118">
        <f>IFERROR(MAX(0,G16-M16)/Premissas!$C$9,0)</f>
        <v/>
      </c>
    </row>
    <row r="17" ht="15" customHeight="1" s="63">
      <c r="A17" s="73" t="inlineStr">
        <is>
          <t>REF529</t>
        </is>
      </c>
      <c r="B17" s="74" t="inlineStr">
        <is>
          <t>Wide 529</t>
        </is>
      </c>
      <c r="C17" s="74" t="inlineStr">
        <is>
          <t>E</t>
        </is>
      </c>
      <c r="D17" s="112" t="n">
        <v>45</v>
      </c>
      <c r="E17" s="113">
        <f>IFERROR(D17/$D$31,0)</f>
        <v/>
      </c>
      <c r="F17" s="92" t="n">
        <v>0</v>
      </c>
      <c r="G17" s="112">
        <f>ROUND(D17*(1+$B$4),0)+F17</f>
        <v/>
      </c>
      <c r="H17" s="97" t="n">
        <v>111.23</v>
      </c>
      <c r="I17" s="114">
        <f>G17*H17</f>
        <v/>
      </c>
      <c r="J17" s="115">
        <f>Premissas!$C$18</f>
        <v/>
      </c>
      <c r="K17" s="116">
        <f>H17*(1-Premissas!$C$19)*(1-$D$4)*(1-Premissas!$C$20)-J17</f>
        <v/>
      </c>
      <c r="L17" s="114">
        <f>G17*K17</f>
        <v/>
      </c>
      <c r="M17" s="112">
        <f>SUMIFS('Log diário'!$D:$D,'Log diário'!$B:$B,$B$2,'Log diário'!$C:$C,$A17)</f>
        <v/>
      </c>
      <c r="N17" s="114">
        <f>SUMIFS('Log diário'!$E:$E,'Log diário'!$B:$B,$B$2,'Log diário'!$C:$C,$A17)</f>
        <v/>
      </c>
      <c r="O17" s="112">
        <f>G17*Premissas!$C$10</f>
        <v/>
      </c>
      <c r="P17" s="117">
        <f>IFERROR(M17/O17,0)</f>
        <v/>
      </c>
      <c r="Q17" s="112">
        <f>IFERROR(M17/Premissas!$C$8*Premissas!$C$7,0)</f>
        <v/>
      </c>
      <c r="R17" s="112">
        <f>Q17-G17</f>
        <v/>
      </c>
      <c r="S17" s="118">
        <f>IFERROR(MAX(0,G17-M17)/Premissas!$C$9,0)</f>
        <v/>
      </c>
    </row>
    <row r="18" ht="15" customHeight="1" s="63">
      <c r="A18" s="73" t="inlineStr">
        <is>
          <t>REF549</t>
        </is>
      </c>
      <c r="B18" s="74" t="inlineStr">
        <is>
          <t>Rosa Bebê</t>
        </is>
      </c>
      <c r="C18" s="74" t="inlineStr">
        <is>
          <t>E</t>
        </is>
      </c>
      <c r="D18" s="112" t="n">
        <v>31</v>
      </c>
      <c r="E18" s="113">
        <f>IFERROR(D18/$D$31,0)</f>
        <v/>
      </c>
      <c r="F18" s="92" t="n">
        <v>0</v>
      </c>
      <c r="G18" s="112">
        <f>ROUND(D18*(1+$B$4),0)+F18</f>
        <v/>
      </c>
      <c r="H18" s="97" t="n">
        <v>87.72</v>
      </c>
      <c r="I18" s="114">
        <f>G18*H18</f>
        <v/>
      </c>
      <c r="J18" s="115">
        <f>Premissas!$C$18</f>
        <v/>
      </c>
      <c r="K18" s="116">
        <f>H18*(1-Premissas!$C$19)*(1-$D$4)*(1-Premissas!$C$20)-J18</f>
        <v/>
      </c>
      <c r="L18" s="114">
        <f>G18*K18</f>
        <v/>
      </c>
      <c r="M18" s="112">
        <f>SUMIFS('Log diário'!$D:$D,'Log diário'!$B:$B,$B$2,'Log diário'!$C:$C,$A18)</f>
        <v/>
      </c>
      <c r="N18" s="114">
        <f>SUMIFS('Log diário'!$E:$E,'Log diário'!$B:$B,$B$2,'Log diário'!$C:$C,$A18)</f>
        <v/>
      </c>
      <c r="O18" s="112">
        <f>G18*Premissas!$C$10</f>
        <v/>
      </c>
      <c r="P18" s="117">
        <f>IFERROR(M18/O18,0)</f>
        <v/>
      </c>
      <c r="Q18" s="112">
        <f>IFERROR(M18/Premissas!$C$8*Premissas!$C$7,0)</f>
        <v/>
      </c>
      <c r="R18" s="112">
        <f>Q18-G18</f>
        <v/>
      </c>
      <c r="S18" s="118">
        <f>IFERROR(MAX(0,G18-M18)/Premissas!$C$9,0)</f>
        <v/>
      </c>
    </row>
    <row r="19" ht="15" customHeight="1" s="63">
      <c r="A19" s="73" t="inlineStr">
        <is>
          <t>REF546</t>
        </is>
      </c>
      <c r="B19" s="74" t="inlineStr">
        <is>
          <t>(sem de-para)</t>
        </is>
      </c>
      <c r="C19" s="74" t="inlineStr">
        <is>
          <t>E</t>
        </is>
      </c>
      <c r="D19" s="112" t="n">
        <v>27</v>
      </c>
      <c r="E19" s="113">
        <f>IFERROR(D19/$D$31,0)</f>
        <v/>
      </c>
      <c r="F19" s="92" t="n">
        <v>0</v>
      </c>
      <c r="G19" s="112">
        <f>ROUND(D19*(1+$B$4),0)+F19</f>
        <v/>
      </c>
      <c r="H19" s="97" t="n">
        <v>89.95</v>
      </c>
      <c r="I19" s="114">
        <f>G19*H19</f>
        <v/>
      </c>
      <c r="J19" s="115">
        <f>Premissas!$C$18</f>
        <v/>
      </c>
      <c r="K19" s="116">
        <f>H19*(1-Premissas!$C$19)*(1-$D$4)*(1-Premissas!$C$20)-J19</f>
        <v/>
      </c>
      <c r="L19" s="114">
        <f>G19*K19</f>
        <v/>
      </c>
      <c r="M19" s="112">
        <f>SUMIFS('Log diário'!$D:$D,'Log diário'!$B:$B,$B$2,'Log diário'!$C:$C,$A19)</f>
        <v/>
      </c>
      <c r="N19" s="114">
        <f>SUMIFS('Log diário'!$E:$E,'Log diário'!$B:$B,$B$2,'Log diário'!$C:$C,$A19)</f>
        <v/>
      </c>
      <c r="O19" s="112">
        <f>G19*Premissas!$C$10</f>
        <v/>
      </c>
      <c r="P19" s="117">
        <f>IFERROR(M19/O19,0)</f>
        <v/>
      </c>
      <c r="Q19" s="112">
        <f>IFERROR(M19/Premissas!$C$8*Premissas!$C$7,0)</f>
        <v/>
      </c>
      <c r="R19" s="112">
        <f>Q19-G19</f>
        <v/>
      </c>
      <c r="S19" s="118">
        <f>IFERROR(MAX(0,G19-M19)/Premissas!$C$9,0)</f>
        <v/>
      </c>
    </row>
    <row r="20" ht="15" customHeight="1" s="63">
      <c r="A20" s="73" t="inlineStr">
        <is>
          <t>REF550</t>
        </is>
      </c>
      <c r="B20" s="74" t="inlineStr">
        <is>
          <t>Amarela</t>
        </is>
      </c>
      <c r="C20" s="74" t="inlineStr">
        <is>
          <t>E</t>
        </is>
      </c>
      <c r="D20" s="112" t="n">
        <v>24</v>
      </c>
      <c r="E20" s="113">
        <f>IFERROR(D20/$D$31,0)</f>
        <v/>
      </c>
      <c r="F20" s="92" t="n">
        <v>0</v>
      </c>
      <c r="G20" s="112">
        <f>ROUND(D20*(1+$B$4),0)+F20</f>
        <v/>
      </c>
      <c r="H20" s="97" t="n">
        <v>86.73999999999999</v>
      </c>
      <c r="I20" s="114">
        <f>G20*H20</f>
        <v/>
      </c>
      <c r="J20" s="115">
        <f>Premissas!$C$18</f>
        <v/>
      </c>
      <c r="K20" s="116">
        <f>H20*(1-Premissas!$C$19)*(1-$D$4)*(1-Premissas!$C$20)-J20</f>
        <v/>
      </c>
      <c r="L20" s="114">
        <f>G20*K20</f>
        <v/>
      </c>
      <c r="M20" s="112">
        <f>SUMIFS('Log diário'!$D:$D,'Log diário'!$B:$B,$B$2,'Log diário'!$C:$C,$A20)</f>
        <v/>
      </c>
      <c r="N20" s="114">
        <f>SUMIFS('Log diário'!$E:$E,'Log diário'!$B:$B,$B$2,'Log diário'!$C:$C,$A20)</f>
        <v/>
      </c>
      <c r="O20" s="112">
        <f>G20*Premissas!$C$10</f>
        <v/>
      </c>
      <c r="P20" s="117">
        <f>IFERROR(M20/O20,0)</f>
        <v/>
      </c>
      <c r="Q20" s="112">
        <f>IFERROR(M20/Premissas!$C$8*Premissas!$C$7,0)</f>
        <v/>
      </c>
      <c r="R20" s="112">
        <f>Q20-G20</f>
        <v/>
      </c>
      <c r="S20" s="118">
        <f>IFERROR(MAX(0,G20-M20)/Premissas!$C$9,0)</f>
        <v/>
      </c>
    </row>
    <row r="21" ht="15" customHeight="1" s="63">
      <c r="A21" s="73" t="inlineStr">
        <is>
          <t>REF574</t>
        </is>
      </c>
      <c r="B21" s="74" t="inlineStr">
        <is>
          <t>(sem de-para)</t>
        </is>
      </c>
      <c r="C21" s="74" t="inlineStr">
        <is>
          <t>E</t>
        </is>
      </c>
      <c r="D21" s="112" t="n">
        <v>24</v>
      </c>
      <c r="E21" s="113">
        <f>IFERROR(D21/$D$31,0)</f>
        <v/>
      </c>
      <c r="F21" s="92" t="n">
        <v>0</v>
      </c>
      <c r="G21" s="112">
        <f>ROUND(D21*(1+$B$4),0)+F21</f>
        <v/>
      </c>
      <c r="H21" s="97" t="n">
        <v>47.85</v>
      </c>
      <c r="I21" s="114">
        <f>G21*H21</f>
        <v/>
      </c>
      <c r="J21" s="115">
        <f>Premissas!$C$18</f>
        <v/>
      </c>
      <c r="K21" s="116">
        <f>H21*(1-Premissas!$C$19)*(1-$D$4)*(1-Premissas!$C$20)-J21</f>
        <v/>
      </c>
      <c r="L21" s="114">
        <f>G21*K21</f>
        <v/>
      </c>
      <c r="M21" s="112">
        <f>SUMIFS('Log diário'!$D:$D,'Log diário'!$B:$B,$B$2,'Log diário'!$C:$C,$A21)</f>
        <v/>
      </c>
      <c r="N21" s="114">
        <f>SUMIFS('Log diário'!$E:$E,'Log diário'!$B:$B,$B$2,'Log diário'!$C:$C,$A21)</f>
        <v/>
      </c>
      <c r="O21" s="112">
        <f>G21*Premissas!$C$10</f>
        <v/>
      </c>
      <c r="P21" s="117">
        <f>IFERROR(M21/O21,0)</f>
        <v/>
      </c>
      <c r="Q21" s="112">
        <f>IFERROR(M21/Premissas!$C$8*Premissas!$C$7,0)</f>
        <v/>
      </c>
      <c r="R21" s="112">
        <f>Q21-G21</f>
        <v/>
      </c>
      <c r="S21" s="118">
        <f>IFERROR(MAX(0,G21-M21)/Premissas!$C$9,0)</f>
        <v/>
      </c>
    </row>
    <row r="22" ht="15" customHeight="1" s="63">
      <c r="A22" s="73" t="inlineStr">
        <is>
          <t>REF573</t>
        </is>
      </c>
      <c r="B22" s="74" t="inlineStr">
        <is>
          <t>(sem de-para)</t>
        </is>
      </c>
      <c r="C22" s="74" t="inlineStr">
        <is>
          <t>E</t>
        </is>
      </c>
      <c r="D22" s="112" t="n">
        <v>17</v>
      </c>
      <c r="E22" s="113">
        <f>IFERROR(D22/$D$31,0)</f>
        <v/>
      </c>
      <c r="F22" s="92" t="n">
        <v>0</v>
      </c>
      <c r="G22" s="112">
        <f>ROUND(D22*(1+$B$4),0)+F22</f>
        <v/>
      </c>
      <c r="H22" s="97" t="n">
        <v>48.84</v>
      </c>
      <c r="I22" s="114">
        <f>G22*H22</f>
        <v/>
      </c>
      <c r="J22" s="115">
        <f>Premissas!$C$18</f>
        <v/>
      </c>
      <c r="K22" s="116">
        <f>H22*(1-Premissas!$C$19)*(1-$D$4)*(1-Premissas!$C$20)-J22</f>
        <v/>
      </c>
      <c r="L22" s="114">
        <f>G22*K22</f>
        <v/>
      </c>
      <c r="M22" s="112">
        <f>SUMIFS('Log diário'!$D:$D,'Log diário'!$B:$B,$B$2,'Log diário'!$C:$C,$A22)</f>
        <v/>
      </c>
      <c r="N22" s="114">
        <f>SUMIFS('Log diário'!$E:$E,'Log diário'!$B:$B,$B$2,'Log diário'!$C:$C,$A22)</f>
        <v/>
      </c>
      <c r="O22" s="112">
        <f>G22*Premissas!$C$10</f>
        <v/>
      </c>
      <c r="P22" s="117">
        <f>IFERROR(M22/O22,0)</f>
        <v/>
      </c>
      <c r="Q22" s="112">
        <f>IFERROR(M22/Premissas!$C$8*Premissas!$C$7,0)</f>
        <v/>
      </c>
      <c r="R22" s="112">
        <f>Q22-G22</f>
        <v/>
      </c>
      <c r="S22" s="118">
        <f>IFERROR(MAX(0,G22-M22)/Premissas!$C$9,0)</f>
        <v/>
      </c>
    </row>
    <row r="23" ht="15" customHeight="1" s="63">
      <c r="A23" s="73" t="inlineStr">
        <is>
          <t>REF555</t>
        </is>
      </c>
      <c r="B23" s="74" t="inlineStr">
        <is>
          <t>(sem de-para)</t>
        </is>
      </c>
      <c r="C23" s="74" t="inlineStr">
        <is>
          <t>E</t>
        </is>
      </c>
      <c r="D23" s="112" t="n">
        <v>14</v>
      </c>
      <c r="E23" s="113">
        <f>IFERROR(D23/$D$31,0)</f>
        <v/>
      </c>
      <c r="F23" s="92" t="n">
        <v>0</v>
      </c>
      <c r="G23" s="112">
        <f>ROUND(D23*(1+$B$4),0)+F23</f>
        <v/>
      </c>
      <c r="H23" s="97" t="n">
        <v>51</v>
      </c>
      <c r="I23" s="114">
        <f>G23*H23</f>
        <v/>
      </c>
      <c r="J23" s="115">
        <f>Premissas!$C$18</f>
        <v/>
      </c>
      <c r="K23" s="116">
        <f>H23*(1-Premissas!$C$19)*(1-$D$4)*(1-Premissas!$C$20)-J23</f>
        <v/>
      </c>
      <c r="L23" s="114">
        <f>G23*K23</f>
        <v/>
      </c>
      <c r="M23" s="112">
        <f>SUMIFS('Log diário'!$D:$D,'Log diário'!$B:$B,$B$2,'Log diário'!$C:$C,$A23)</f>
        <v/>
      </c>
      <c r="N23" s="114">
        <f>SUMIFS('Log diário'!$E:$E,'Log diário'!$B:$B,$B$2,'Log diário'!$C:$C,$A23)</f>
        <v/>
      </c>
      <c r="O23" s="112">
        <f>G23*Premissas!$C$10</f>
        <v/>
      </c>
      <c r="P23" s="117">
        <f>IFERROR(M23/O23,0)</f>
        <v/>
      </c>
      <c r="Q23" s="112">
        <f>IFERROR(M23/Premissas!$C$8*Premissas!$C$7,0)</f>
        <v/>
      </c>
      <c r="R23" s="112">
        <f>Q23-G23</f>
        <v/>
      </c>
      <c r="S23" s="118">
        <f>IFERROR(MAX(0,G23-M23)/Premissas!$C$9,0)</f>
        <v/>
      </c>
    </row>
    <row r="24" ht="15" customHeight="1" s="63">
      <c r="A24" s="73" t="inlineStr">
        <is>
          <t>REF554</t>
        </is>
      </c>
      <c r="B24" s="74" t="inlineStr">
        <is>
          <t>(sem de-para)</t>
        </is>
      </c>
      <c r="C24" s="74" t="inlineStr">
        <is>
          <t>E</t>
        </is>
      </c>
      <c r="D24" s="112" t="n">
        <v>14</v>
      </c>
      <c r="E24" s="113">
        <f>IFERROR(D24/$D$31,0)</f>
        <v/>
      </c>
      <c r="F24" s="92" t="n">
        <v>0</v>
      </c>
      <c r="G24" s="112">
        <f>ROUND(D24*(1+$B$4),0)+F24</f>
        <v/>
      </c>
      <c r="H24" s="97" t="n">
        <v>49.02</v>
      </c>
      <c r="I24" s="114">
        <f>G24*H24</f>
        <v/>
      </c>
      <c r="J24" s="115">
        <f>Premissas!$C$18</f>
        <v/>
      </c>
      <c r="K24" s="116">
        <f>H24*(1-Premissas!$C$19)*(1-$D$4)*(1-Premissas!$C$20)-J24</f>
        <v/>
      </c>
      <c r="L24" s="114">
        <f>G24*K24</f>
        <v/>
      </c>
      <c r="M24" s="112">
        <f>SUMIFS('Log diário'!$D:$D,'Log diário'!$B:$B,$B$2,'Log diário'!$C:$C,$A24)</f>
        <v/>
      </c>
      <c r="N24" s="114">
        <f>SUMIFS('Log diário'!$E:$E,'Log diário'!$B:$B,$B$2,'Log diário'!$C:$C,$A24)</f>
        <v/>
      </c>
      <c r="O24" s="112">
        <f>G24*Premissas!$C$10</f>
        <v/>
      </c>
      <c r="P24" s="117">
        <f>IFERROR(M24/O24,0)</f>
        <v/>
      </c>
      <c r="Q24" s="112">
        <f>IFERROR(M24/Premissas!$C$8*Premissas!$C$7,0)</f>
        <v/>
      </c>
      <c r="R24" s="112">
        <f>Q24-G24</f>
        <v/>
      </c>
      <c r="S24" s="118">
        <f>IFERROR(MAX(0,G24-M24)/Premissas!$C$9,0)</f>
        <v/>
      </c>
    </row>
    <row r="25" ht="15" customHeight="1" s="63">
      <c r="A25" s="73" t="inlineStr">
        <is>
          <t>REF575</t>
        </is>
      </c>
      <c r="B25" s="74" t="inlineStr">
        <is>
          <t>(sem de-para)</t>
        </is>
      </c>
      <c r="C25" s="74" t="inlineStr">
        <is>
          <t>E</t>
        </is>
      </c>
      <c r="D25" s="112" t="n">
        <v>14</v>
      </c>
      <c r="E25" s="113">
        <f>IFERROR(D25/$D$31,0)</f>
        <v/>
      </c>
      <c r="F25" s="92" t="n">
        <v>0</v>
      </c>
      <c r="G25" s="112">
        <f>ROUND(D25*(1+$B$4),0)+F25</f>
        <v/>
      </c>
      <c r="H25" s="97" t="n">
        <v>47.92</v>
      </c>
      <c r="I25" s="114">
        <f>G25*H25</f>
        <v/>
      </c>
      <c r="J25" s="115">
        <f>Premissas!$C$18</f>
        <v/>
      </c>
      <c r="K25" s="116">
        <f>H25*(1-Premissas!$C$19)*(1-$D$4)*(1-Premissas!$C$20)-J25</f>
        <v/>
      </c>
      <c r="L25" s="114">
        <f>G25*K25</f>
        <v/>
      </c>
      <c r="M25" s="112">
        <f>SUMIFS('Log diário'!$D:$D,'Log diário'!$B:$B,$B$2,'Log diário'!$C:$C,$A25)</f>
        <v/>
      </c>
      <c r="N25" s="114">
        <f>SUMIFS('Log diário'!$E:$E,'Log diário'!$B:$B,$B$2,'Log diário'!$C:$C,$A25)</f>
        <v/>
      </c>
      <c r="O25" s="112">
        <f>G25*Premissas!$C$10</f>
        <v/>
      </c>
      <c r="P25" s="117">
        <f>IFERROR(M25/O25,0)</f>
        <v/>
      </c>
      <c r="Q25" s="112">
        <f>IFERROR(M25/Premissas!$C$8*Premissas!$C$7,0)</f>
        <v/>
      </c>
      <c r="R25" s="112">
        <f>Q25-G25</f>
        <v/>
      </c>
      <c r="S25" s="118">
        <f>IFERROR(MAX(0,G25-M25)/Premissas!$C$9,0)</f>
        <v/>
      </c>
    </row>
    <row r="26" ht="15" customHeight="1" s="63">
      <c r="A26" s="73" t="inlineStr">
        <is>
          <t>REF566</t>
        </is>
      </c>
      <c r="B26" s="74" t="inlineStr">
        <is>
          <t>Mom Choco</t>
        </is>
      </c>
      <c r="C26" s="74" t="inlineStr">
        <is>
          <t>E</t>
        </is>
      </c>
      <c r="D26" s="112" t="n">
        <v>14</v>
      </c>
      <c r="E26" s="113">
        <f>IFERROR(D26/$D$31,0)</f>
        <v/>
      </c>
      <c r="F26" s="92" t="n">
        <v>0</v>
      </c>
      <c r="G26" s="112">
        <f>ROUND(D26*(1+$B$4),0)+F26</f>
        <v/>
      </c>
      <c r="H26" s="97" t="n">
        <v>92.7</v>
      </c>
      <c r="I26" s="114">
        <f>G26*H26</f>
        <v/>
      </c>
      <c r="J26" s="115">
        <f>Premissas!$C$18</f>
        <v/>
      </c>
      <c r="K26" s="116">
        <f>H26*(1-Premissas!$C$19)*(1-$D$4)*(1-Premissas!$C$20)-J26</f>
        <v/>
      </c>
      <c r="L26" s="114">
        <f>G26*K26</f>
        <v/>
      </c>
      <c r="M26" s="112">
        <f>SUMIFS('Log diário'!$D:$D,'Log diário'!$B:$B,$B$2,'Log diário'!$C:$C,$A26)</f>
        <v/>
      </c>
      <c r="N26" s="114">
        <f>SUMIFS('Log diário'!$E:$E,'Log diário'!$B:$B,$B$2,'Log diário'!$C:$C,$A26)</f>
        <v/>
      </c>
      <c r="O26" s="112">
        <f>G26*Premissas!$C$10</f>
        <v/>
      </c>
      <c r="P26" s="117">
        <f>IFERROR(M26/O26,0)</f>
        <v/>
      </c>
      <c r="Q26" s="112">
        <f>IFERROR(M26/Premissas!$C$8*Premissas!$C$7,0)</f>
        <v/>
      </c>
      <c r="R26" s="112">
        <f>Q26-G26</f>
        <v/>
      </c>
      <c r="S26" s="118">
        <f>IFERROR(MAX(0,G26-M26)/Premissas!$C$9,0)</f>
        <v/>
      </c>
    </row>
    <row r="27" ht="15" customHeight="1" s="63">
      <c r="A27" s="73" t="inlineStr">
        <is>
          <t>REF548</t>
        </is>
      </c>
      <c r="B27" s="74" t="inlineStr">
        <is>
          <t>(sem de-para)</t>
        </is>
      </c>
      <c r="C27" s="74" t="inlineStr">
        <is>
          <t>E</t>
        </is>
      </c>
      <c r="D27" s="112" t="n">
        <v>13</v>
      </c>
      <c r="E27" s="113">
        <f>IFERROR(D27/$D$31,0)</f>
        <v/>
      </c>
      <c r="F27" s="92" t="n">
        <v>0</v>
      </c>
      <c r="G27" s="112">
        <f>ROUND(D27*(1+$B$4),0)+F27</f>
        <v/>
      </c>
      <c r="H27" s="97" t="n">
        <v>87.34</v>
      </c>
      <c r="I27" s="114">
        <f>G27*H27</f>
        <v/>
      </c>
      <c r="J27" s="115">
        <f>Premissas!$C$18</f>
        <v/>
      </c>
      <c r="K27" s="116">
        <f>H27*(1-Premissas!$C$19)*(1-$D$4)*(1-Premissas!$C$20)-J27</f>
        <v/>
      </c>
      <c r="L27" s="114">
        <f>G27*K27</f>
        <v/>
      </c>
      <c r="M27" s="112">
        <f>SUMIFS('Log diário'!$D:$D,'Log diário'!$B:$B,$B$2,'Log diário'!$C:$C,$A27)</f>
        <v/>
      </c>
      <c r="N27" s="114">
        <f>SUMIFS('Log diário'!$E:$E,'Log diário'!$B:$B,$B$2,'Log diário'!$C:$C,$A27)</f>
        <v/>
      </c>
      <c r="O27" s="112">
        <f>G27*Premissas!$C$10</f>
        <v/>
      </c>
      <c r="P27" s="117">
        <f>IFERROR(M27/O27,0)</f>
        <v/>
      </c>
      <c r="Q27" s="112">
        <f>IFERROR(M27/Premissas!$C$8*Premissas!$C$7,0)</f>
        <v/>
      </c>
      <c r="R27" s="112">
        <f>Q27-G27</f>
        <v/>
      </c>
      <c r="S27" s="118">
        <f>IFERROR(MAX(0,G27-M27)/Premissas!$C$9,0)</f>
        <v/>
      </c>
    </row>
    <row r="28" ht="15" customHeight="1" s="63">
      <c r="A28" s="73" t="inlineStr">
        <is>
          <t>REF557</t>
        </is>
      </c>
      <c r="B28" s="74" t="inlineStr">
        <is>
          <t>(sem de-para)</t>
        </is>
      </c>
      <c r="C28" s="74" t="inlineStr">
        <is>
          <t>E</t>
        </is>
      </c>
      <c r="D28" s="112" t="n">
        <v>11</v>
      </c>
      <c r="E28" s="113">
        <f>IFERROR(D28/$D$31,0)</f>
        <v/>
      </c>
      <c r="F28" s="92" t="n">
        <v>0</v>
      </c>
      <c r="G28" s="112">
        <f>ROUND(D28*(1+$B$4),0)+F28</f>
        <v/>
      </c>
      <c r="H28" s="97" t="n">
        <v>49.2</v>
      </c>
      <c r="I28" s="114">
        <f>G28*H28</f>
        <v/>
      </c>
      <c r="J28" s="115">
        <f>Premissas!$C$18</f>
        <v/>
      </c>
      <c r="K28" s="116">
        <f>H28*(1-Premissas!$C$19)*(1-$D$4)*(1-Premissas!$C$20)-J28</f>
        <v/>
      </c>
      <c r="L28" s="114">
        <f>G28*K28</f>
        <v/>
      </c>
      <c r="M28" s="112">
        <f>SUMIFS('Log diário'!$D:$D,'Log diário'!$B:$B,$B$2,'Log diário'!$C:$C,$A28)</f>
        <v/>
      </c>
      <c r="N28" s="114">
        <f>SUMIFS('Log diário'!$E:$E,'Log diário'!$B:$B,$B$2,'Log diário'!$C:$C,$A28)</f>
        <v/>
      </c>
      <c r="O28" s="112">
        <f>G28*Premissas!$C$10</f>
        <v/>
      </c>
      <c r="P28" s="117">
        <f>IFERROR(M28/O28,0)</f>
        <v/>
      </c>
      <c r="Q28" s="112">
        <f>IFERROR(M28/Premissas!$C$8*Premissas!$C$7,0)</f>
        <v/>
      </c>
      <c r="R28" s="112">
        <f>Q28-G28</f>
        <v/>
      </c>
      <c r="S28" s="118">
        <f>IFERROR(MAX(0,G28-M28)/Premissas!$C$9,0)</f>
        <v/>
      </c>
    </row>
    <row r="29" ht="15" customHeight="1" s="63">
      <c r="A29" s="73" t="inlineStr">
        <is>
          <t>REF568</t>
        </is>
      </c>
      <c r="B29" s="74" t="inlineStr">
        <is>
          <t>(sem de-para)</t>
        </is>
      </c>
      <c r="C29" s="74" t="inlineStr">
        <is>
          <t>E</t>
        </is>
      </c>
      <c r="D29" s="112" t="n">
        <v>9</v>
      </c>
      <c r="E29" s="113">
        <f>IFERROR(D29/$D$31,0)</f>
        <v/>
      </c>
      <c r="F29" s="92" t="n">
        <v>0</v>
      </c>
      <c r="G29" s="112">
        <f>ROUND(D29*(1+$B$4),0)+F29</f>
        <v/>
      </c>
      <c r="H29" s="97" t="n">
        <v>60.03</v>
      </c>
      <c r="I29" s="114">
        <f>G29*H29</f>
        <v/>
      </c>
      <c r="J29" s="115">
        <f>Premissas!$C$18</f>
        <v/>
      </c>
      <c r="K29" s="116">
        <f>H29*(1-Premissas!$C$19)*(1-$D$4)*(1-Premissas!$C$20)-J29</f>
        <v/>
      </c>
      <c r="L29" s="114">
        <f>G29*K29</f>
        <v/>
      </c>
      <c r="M29" s="112">
        <f>SUMIFS('Log diário'!$D:$D,'Log diário'!$B:$B,$B$2,'Log diário'!$C:$C,$A29)</f>
        <v/>
      </c>
      <c r="N29" s="114">
        <f>SUMIFS('Log diário'!$E:$E,'Log diário'!$B:$B,$B$2,'Log diário'!$C:$C,$A29)</f>
        <v/>
      </c>
      <c r="O29" s="112">
        <f>G29*Premissas!$C$10</f>
        <v/>
      </c>
      <c r="P29" s="117">
        <f>IFERROR(M29/O29,0)</f>
        <v/>
      </c>
      <c r="Q29" s="112">
        <f>IFERROR(M29/Premissas!$C$8*Premissas!$C$7,0)</f>
        <v/>
      </c>
      <c r="R29" s="112">
        <f>Q29-G29</f>
        <v/>
      </c>
      <c r="S29" s="118">
        <f>IFERROR(MAX(0,G29-M29)/Premissas!$C$9,0)</f>
        <v/>
      </c>
    </row>
    <row r="30" ht="15" customHeight="1" s="63">
      <c r="A30" s="73" t="inlineStr">
        <is>
          <t>CAUDA</t>
        </is>
      </c>
      <c r="B30" s="74" t="inlineStr">
        <is>
          <t>SKUs de cauda não detalhados</t>
        </is>
      </c>
      <c r="C30" s="74" t="inlineStr">
        <is>
          <t>—</t>
        </is>
      </c>
      <c r="D30" s="112" t="n">
        <v>78</v>
      </c>
      <c r="E30" s="113">
        <f>IFERROR(D30/$D$31,0)</f>
        <v/>
      </c>
      <c r="F30" s="92" t="n">
        <v>0</v>
      </c>
      <c r="G30" s="112">
        <f>ROUND(D30*(1+$B$4),0)+F30</f>
        <v/>
      </c>
      <c r="H30" s="97" t="n">
        <v>76.34999999999999</v>
      </c>
      <c r="I30" s="114">
        <f>G30*H30</f>
        <v/>
      </c>
      <c r="J30" s="115">
        <f>Premissas!$C$18</f>
        <v/>
      </c>
      <c r="K30" s="116">
        <f>H30*(1-Premissas!$C$19)*(1-$D$4)*(1-Premissas!$C$20)-J30</f>
        <v/>
      </c>
      <c r="L30" s="114">
        <f>G30*K30</f>
        <v/>
      </c>
      <c r="M30" s="112">
        <f>SUMIFS('Log diário'!$D:$D,'Log diário'!$B:$B,$B$2,'Log diário'!$C:$C,$A30)</f>
        <v/>
      </c>
      <c r="N30" s="114">
        <f>SUMIFS('Log diário'!$E:$E,'Log diário'!$B:$B,$B$2,'Log diário'!$C:$C,$A30)</f>
        <v/>
      </c>
      <c r="O30" s="112">
        <f>G30*Premissas!$C$10</f>
        <v/>
      </c>
      <c r="P30" s="117">
        <f>IFERROR(M30/O30,0)</f>
        <v/>
      </c>
      <c r="Q30" s="112">
        <f>IFERROR(M30/Premissas!$C$8*Premissas!$C$7,0)</f>
        <v/>
      </c>
      <c r="R30" s="112">
        <f>Q30-G30</f>
        <v/>
      </c>
      <c r="S30" s="118">
        <f>IFERROR(MAX(0,G30-M30)/Premissas!$C$9,0)</f>
        <v/>
      </c>
    </row>
    <row r="31" ht="15" customHeight="1" s="63">
      <c r="A31" s="81" t="inlineStr">
        <is>
          <t>TOTAL</t>
        </is>
      </c>
      <c r="B31" s="81" t="n"/>
      <c r="C31" s="81" t="n"/>
      <c r="D31" s="82">
        <f>SUM(D8:D30)</f>
        <v/>
      </c>
      <c r="E31" s="85">
        <f>SUM(E8:E30)</f>
        <v/>
      </c>
      <c r="F31" s="82">
        <f>SUM(F8:F30)</f>
        <v/>
      </c>
      <c r="G31" s="82">
        <f>SUM(G8:G30)</f>
        <v/>
      </c>
      <c r="H31" s="119" t="n"/>
      <c r="I31" s="83">
        <f>SUM(I8:I30)</f>
        <v/>
      </c>
      <c r="J31" s="119" t="n"/>
      <c r="K31" s="119" t="n"/>
      <c r="L31" s="83">
        <f>SUM(L8:L30)</f>
        <v/>
      </c>
      <c r="M31" s="82">
        <f>SUM(M8:M30)</f>
        <v/>
      </c>
      <c r="N31" s="83">
        <f>SUM(N8:N30)</f>
        <v/>
      </c>
      <c r="O31" s="82">
        <f>SUM(O8:O30)</f>
        <v/>
      </c>
      <c r="P31" s="84">
        <f>IFERROR(M31/O31,0)</f>
        <v/>
      </c>
      <c r="Q31" s="82">
        <f>SUM(Q8:Q30)</f>
        <v/>
      </c>
      <c r="R31" s="82">
        <f>SUM(R8:R30)</f>
        <v/>
      </c>
      <c r="S31" s="120">
        <f>SUM(S8:S30)</f>
        <v/>
      </c>
    </row>
    <row r="32" ht="15" customHeight="1" s="63">
      <c r="A32" s="73" t="inlineStr">
        <is>
          <t>Σ Hero</t>
        </is>
      </c>
      <c r="B32" s="74" t="n"/>
      <c r="C32" s="74" t="n"/>
      <c r="D32" s="112">
        <f>SUMIFS(D8:D30,$C$8:$C$30,"H")</f>
        <v/>
      </c>
      <c r="E32" s="74" t="n"/>
      <c r="F32" s="74" t="n"/>
      <c r="G32" s="112">
        <f>SUMIFS(G8:G30,$C$8:$C$30,"H")</f>
        <v/>
      </c>
      <c r="H32" s="74" t="n"/>
      <c r="I32" s="74" t="n"/>
      <c r="J32" s="74" t="n"/>
      <c r="K32" s="74" t="n"/>
      <c r="L32" s="114">
        <f>SUMIFS(L8:L30,$C$8:$C$30,"H")</f>
        <v/>
      </c>
    </row>
    <row r="33" ht="15" customHeight="1" s="63">
      <c r="A33" s="73" t="inlineStr">
        <is>
          <t>Σ Esteira</t>
        </is>
      </c>
      <c r="B33" s="74" t="n"/>
      <c r="C33" s="74" t="n"/>
      <c r="D33" s="112">
        <f>SUMIFS(D8:D30,$C$8:$C$30,"E")</f>
        <v/>
      </c>
      <c r="E33" s="74" t="n"/>
      <c r="F33" s="74" t="n"/>
      <c r="G33" s="112">
        <f>SUMIFS(G8:G30,$C$8:$C$30,"E")</f>
        <v/>
      </c>
      <c r="H33" s="74" t="n"/>
      <c r="I33" s="74" t="n"/>
      <c r="J33" s="74" t="n"/>
      <c r="K33" s="74" t="n"/>
      <c r="L33" s="114">
        <f>SUMIFS(L8:L30,$C$8:$C$30,"E")</f>
        <v/>
      </c>
    </row>
    <row r="35" ht="15" customHeight="1" s="63">
      <c r="A35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36" ht="15" customHeight="1" s="63">
      <c r="A36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Vídeo loja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Vídeo loja</t>
        </is>
      </c>
      <c r="C2" s="66" t="inlineStr">
        <is>
          <t>Superfície:</t>
        </is>
      </c>
      <c r="D2" s="89" t="inlineStr">
        <is>
          <t>VÍDEO</t>
        </is>
      </c>
      <c r="F2" s="66" t="inlineStr">
        <is>
          <t>Atribuição:</t>
        </is>
      </c>
      <c r="G2" s="89" t="inlineStr">
        <is>
          <t>Loja / vendedor</t>
        </is>
      </c>
      <c r="I2" s="66" t="inlineStr">
        <is>
          <t>Confiança da base jul:</t>
        </is>
      </c>
      <c r="K2" s="121" t="inlineStr">
        <is>
          <t>ESTIMADO — split calibrado, não medido</t>
        </is>
      </c>
    </row>
    <row r="3" ht="15" customHeight="1" s="63">
      <c r="A3" s="66" t="inlineStr">
        <is>
          <t>Alavanca principal:</t>
        </is>
      </c>
      <c r="B3" s="89" t="inlineStr">
        <is>
          <t>Residual — vídeo próprio do seller (quase zero hoje)</t>
        </is>
      </c>
    </row>
    <row r="4" ht="15" customHeight="1" s="63">
      <c r="A4" s="66" t="inlineStr">
        <is>
          <t>Crescimento vs base:</t>
        </is>
      </c>
      <c r="B4" s="107">
        <f>Premissas!$C$29</f>
        <v/>
      </c>
      <c r="C4" s="66" t="inlineStr">
        <is>
          <t>Comissão afiliada:</t>
        </is>
      </c>
      <c r="D4" s="107">
        <f>Premissas!$D$29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G11</f>
        <v/>
      </c>
      <c r="C5" s="66" t="inlineStr">
        <is>
          <t>Meta GMV:</t>
        </is>
      </c>
      <c r="D5" s="110">
        <f>I11</f>
        <v/>
      </c>
      <c r="F5" s="66" t="inlineStr">
        <is>
          <t>Contribuição meta:</t>
        </is>
      </c>
      <c r="G5" s="110">
        <f>L11</f>
        <v/>
      </c>
      <c r="I5" s="66" t="inlineStr">
        <is>
          <t>Índice de pace:</t>
        </is>
      </c>
      <c r="K5" s="111">
        <f>P11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REF516</t>
        </is>
      </c>
      <c r="B8" s="74" t="inlineStr">
        <is>
          <t>Marmorizada</t>
        </is>
      </c>
      <c r="C8" s="74" t="inlineStr">
        <is>
          <t>H</t>
        </is>
      </c>
      <c r="D8" s="112" t="n">
        <v>24</v>
      </c>
      <c r="E8" s="113">
        <f>IFERROR(D8/$D$11,0)</f>
        <v/>
      </c>
      <c r="F8" s="92" t="n">
        <v>0</v>
      </c>
      <c r="G8" s="112">
        <f>ROUND(D8*(1+$B$4),0)+F8</f>
        <v/>
      </c>
      <c r="H8" s="97" t="n">
        <v>73.05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73" t="inlineStr">
        <is>
          <t>REF525</t>
        </is>
      </c>
      <c r="B9" s="74" t="inlineStr">
        <is>
          <t>Stone Used</t>
        </is>
      </c>
      <c r="C9" s="74" t="inlineStr">
        <is>
          <t>H</t>
        </is>
      </c>
      <c r="D9" s="112" t="n">
        <v>9</v>
      </c>
      <c r="E9" s="113">
        <f>IFERROR(D9/$D$11,0)</f>
        <v/>
      </c>
      <c r="F9" s="92" t="n">
        <v>0</v>
      </c>
      <c r="G9" s="112">
        <f>ROUND(D9*(1+$B$4),0)+F9</f>
        <v/>
      </c>
      <c r="H9" s="97" t="n">
        <v>73.45</v>
      </c>
      <c r="I9" s="114">
        <f>G9*H9</f>
        <v/>
      </c>
      <c r="J9" s="115">
        <f>Premissas!$C$18</f>
        <v/>
      </c>
      <c r="K9" s="116">
        <f>H9*(1-Premissas!$C$19)*(1-$D$4)*(1-Premissas!$C$20)-J9</f>
        <v/>
      </c>
      <c r="L9" s="114">
        <f>G9*K9</f>
        <v/>
      </c>
      <c r="M9" s="112">
        <f>SUMIFS('Log diário'!$D:$D,'Log diário'!$B:$B,$B$2,'Log diário'!$C:$C,$A9)</f>
        <v/>
      </c>
      <c r="N9" s="114">
        <f>SUMIFS('Log diário'!$E:$E,'Log diário'!$B:$B,$B$2,'Log diário'!$C:$C,$A9)</f>
        <v/>
      </c>
      <c r="O9" s="112">
        <f>G9*Premissas!$C$10</f>
        <v/>
      </c>
      <c r="P9" s="117">
        <f>IFERROR(M9/O9,0)</f>
        <v/>
      </c>
      <c r="Q9" s="112">
        <f>IFERROR(M9/Premissas!$C$8*Premissas!$C$7,0)</f>
        <v/>
      </c>
      <c r="R9" s="112">
        <f>Q9-G9</f>
        <v/>
      </c>
      <c r="S9" s="118">
        <f>IFERROR(MAX(0,G9-M9)/Premissas!$C$9,0)</f>
        <v/>
      </c>
    </row>
    <row r="10" ht="15" customHeight="1" s="63">
      <c r="A10" s="73" t="inlineStr">
        <is>
          <t>CAUDA</t>
        </is>
      </c>
      <c r="B10" s="74" t="inlineStr">
        <is>
          <t>SKUs de cauda não detalhados</t>
        </is>
      </c>
      <c r="C10" s="74" t="inlineStr">
        <is>
          <t>—</t>
        </is>
      </c>
      <c r="D10" s="112" t="n">
        <v>34</v>
      </c>
      <c r="E10" s="113">
        <f>IFERROR(D10/$D$11,0)</f>
        <v/>
      </c>
      <c r="F10" s="92" t="n">
        <v>0</v>
      </c>
      <c r="G10" s="112">
        <f>ROUND(D10*(1+$B$4),0)+F10</f>
        <v/>
      </c>
      <c r="H10" s="97" t="n">
        <v>73.16</v>
      </c>
      <c r="I10" s="114">
        <f>G10*H10</f>
        <v/>
      </c>
      <c r="J10" s="115">
        <f>Premissas!$C$18</f>
        <v/>
      </c>
      <c r="K10" s="116">
        <f>H10*(1-Premissas!$C$19)*(1-$D$4)*(1-Premissas!$C$20)-J10</f>
        <v/>
      </c>
      <c r="L10" s="114">
        <f>G10*K10</f>
        <v/>
      </c>
      <c r="M10" s="112">
        <f>SUMIFS('Log diário'!$D:$D,'Log diário'!$B:$B,$B$2,'Log diário'!$C:$C,$A10)</f>
        <v/>
      </c>
      <c r="N10" s="114">
        <f>SUMIFS('Log diário'!$E:$E,'Log diário'!$B:$B,$B$2,'Log diário'!$C:$C,$A10)</f>
        <v/>
      </c>
      <c r="O10" s="112">
        <f>G10*Premissas!$C$10</f>
        <v/>
      </c>
      <c r="P10" s="117">
        <f>IFERROR(M10/O10,0)</f>
        <v/>
      </c>
      <c r="Q10" s="112">
        <f>IFERROR(M10/Premissas!$C$8*Premissas!$C$7,0)</f>
        <v/>
      </c>
      <c r="R10" s="112">
        <f>Q10-G10</f>
        <v/>
      </c>
      <c r="S10" s="118">
        <f>IFERROR(MAX(0,G10-M10)/Premissas!$C$9,0)</f>
        <v/>
      </c>
    </row>
    <row r="11" ht="15" customHeight="1" s="63">
      <c r="A11" s="81" t="inlineStr">
        <is>
          <t>TOTAL</t>
        </is>
      </c>
      <c r="B11" s="81" t="n"/>
      <c r="C11" s="81" t="n"/>
      <c r="D11" s="82">
        <f>SUM(D8:D10)</f>
        <v/>
      </c>
      <c r="E11" s="85">
        <f>SUM(E8:E10)</f>
        <v/>
      </c>
      <c r="F11" s="82">
        <f>SUM(F8:F10)</f>
        <v/>
      </c>
      <c r="G11" s="82">
        <f>SUM(G8:G10)</f>
        <v/>
      </c>
      <c r="H11" s="119" t="n"/>
      <c r="I11" s="83">
        <f>SUM(I8:I10)</f>
        <v/>
      </c>
      <c r="J11" s="119" t="n"/>
      <c r="K11" s="119" t="n"/>
      <c r="L11" s="83">
        <f>SUM(L8:L10)</f>
        <v/>
      </c>
      <c r="M11" s="82">
        <f>SUM(M8:M10)</f>
        <v/>
      </c>
      <c r="N11" s="83">
        <f>SUM(N8:N10)</f>
        <v/>
      </c>
      <c r="O11" s="82">
        <f>SUM(O8:O10)</f>
        <v/>
      </c>
      <c r="P11" s="84">
        <f>IFERROR(M11/O11,0)</f>
        <v/>
      </c>
      <c r="Q11" s="82">
        <f>SUM(Q8:Q10)</f>
        <v/>
      </c>
      <c r="R11" s="82">
        <f>SUM(R8:R10)</f>
        <v/>
      </c>
      <c r="S11" s="120">
        <f>SUM(S8:S10)</f>
        <v/>
      </c>
    </row>
    <row r="12" ht="15" customHeight="1" s="63">
      <c r="A12" s="73" t="inlineStr">
        <is>
          <t>Σ Hero</t>
        </is>
      </c>
      <c r="B12" s="74" t="n"/>
      <c r="C12" s="74" t="n"/>
      <c r="D12" s="112">
        <f>SUMIFS(D8:D10,$C$8:$C$10,"H")</f>
        <v/>
      </c>
      <c r="E12" s="74" t="n"/>
      <c r="F12" s="74" t="n"/>
      <c r="G12" s="112">
        <f>SUMIFS(G8:G10,$C$8:$C$10,"H")</f>
        <v/>
      </c>
      <c r="H12" s="74" t="n"/>
      <c r="I12" s="74" t="n"/>
      <c r="J12" s="74" t="n"/>
      <c r="K12" s="74" t="n"/>
      <c r="L12" s="114">
        <f>SUMIFS(L8:L10,$C$8:$C$10,"H")</f>
        <v/>
      </c>
    </row>
    <row r="13" ht="15" customHeight="1" s="63">
      <c r="A13" s="73" t="inlineStr">
        <is>
          <t>Σ Esteira</t>
        </is>
      </c>
      <c r="B13" s="74" t="n"/>
      <c r="C13" s="74" t="n"/>
      <c r="D13" s="112">
        <f>SUMIFS(D8:D10,$C$8:$C$10,"E")</f>
        <v/>
      </c>
      <c r="E13" s="74" t="n"/>
      <c r="F13" s="74" t="n"/>
      <c r="G13" s="112">
        <f>SUMIFS(G8:G10,$C$8:$C$10,"E")</f>
        <v/>
      </c>
      <c r="H13" s="74" t="n"/>
      <c r="I13" s="74" t="n"/>
      <c r="J13" s="74" t="n"/>
      <c r="K13" s="74" t="n"/>
      <c r="L13" s="114">
        <f>SUMIFS(L8:L10,$C$8:$C$10,"E")</f>
        <v/>
      </c>
    </row>
    <row r="15" ht="15" customHeight="1" s="63">
      <c r="A15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16" ht="15" customHeight="1" s="63">
      <c r="A16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S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Card loja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Card loja</t>
        </is>
      </c>
      <c r="C2" s="66" t="inlineStr">
        <is>
          <t>Superfície:</t>
        </is>
      </c>
      <c r="D2" s="89" t="inlineStr">
        <is>
          <t>CARD DE PRODUTO</t>
        </is>
      </c>
      <c r="F2" s="66" t="inlineStr">
        <is>
          <t>Atribuição:</t>
        </is>
      </c>
      <c r="G2" s="89" t="inlineStr">
        <is>
          <t>Loja / vendedor</t>
        </is>
      </c>
      <c r="I2" s="66" t="inlineStr">
        <is>
          <t>Confiança da base jul:</t>
        </is>
      </c>
      <c r="K2" s="121" t="inlineStr">
        <is>
          <t>ESTIMADO — split calibrado, não medido</t>
        </is>
      </c>
    </row>
    <row r="3" ht="15" customHeight="1" s="63">
      <c r="A3" s="66" t="inlineStr">
        <is>
          <t>Alavanca principal:</t>
        </is>
      </c>
      <c r="B3" s="89" t="inlineStr">
        <is>
          <t>Holdout do card → então reabrir mídia</t>
        </is>
      </c>
    </row>
    <row r="4" ht="15" customHeight="1" s="63">
      <c r="A4" s="66" t="inlineStr">
        <is>
          <t>Crescimento vs base:</t>
        </is>
      </c>
      <c r="B4" s="107">
        <f>Premissas!$C$30</f>
        <v/>
      </c>
      <c r="C4" s="66" t="inlineStr">
        <is>
          <t>Comissão afiliada:</t>
        </is>
      </c>
      <c r="D4" s="107">
        <f>Premissas!$D$30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G16</f>
        <v/>
      </c>
      <c r="C5" s="66" t="inlineStr">
        <is>
          <t>Meta GMV:</t>
        </is>
      </c>
      <c r="D5" s="110">
        <f>I16</f>
        <v/>
      </c>
      <c r="F5" s="66" t="inlineStr">
        <is>
          <t>Contribuição meta:</t>
        </is>
      </c>
      <c r="G5" s="110">
        <f>L16</f>
        <v/>
      </c>
      <c r="I5" s="66" t="inlineStr">
        <is>
          <t>Índice de pace:</t>
        </is>
      </c>
      <c r="K5" s="111">
        <f>P16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REF516</t>
        </is>
      </c>
      <c r="B8" s="74" t="inlineStr">
        <is>
          <t>Marmorizada</t>
        </is>
      </c>
      <c r="C8" s="74" t="inlineStr">
        <is>
          <t>H</t>
        </is>
      </c>
      <c r="D8" s="112" t="n">
        <v>89</v>
      </c>
      <c r="E8" s="113">
        <f>IFERROR(D8/$D$16,0)</f>
        <v/>
      </c>
      <c r="F8" s="92" t="n">
        <v>0</v>
      </c>
      <c r="G8" s="112">
        <f>ROUND(D8*(1+$B$4),0)+F8</f>
        <v/>
      </c>
      <c r="H8" s="97" t="n">
        <v>73.05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73" t="inlineStr">
        <is>
          <t>REF525</t>
        </is>
      </c>
      <c r="B9" s="74" t="inlineStr">
        <is>
          <t>Stone Used</t>
        </is>
      </c>
      <c r="C9" s="74" t="inlineStr">
        <is>
          <t>H</t>
        </is>
      </c>
      <c r="D9" s="112" t="n">
        <v>35</v>
      </c>
      <c r="E9" s="113">
        <f>IFERROR(D9/$D$16,0)</f>
        <v/>
      </c>
      <c r="F9" s="92" t="n">
        <v>0</v>
      </c>
      <c r="G9" s="112">
        <f>ROUND(D9*(1+$B$4),0)+F9</f>
        <v/>
      </c>
      <c r="H9" s="97" t="n">
        <v>73.45</v>
      </c>
      <c r="I9" s="114">
        <f>G9*H9</f>
        <v/>
      </c>
      <c r="J9" s="115">
        <f>Premissas!$C$18</f>
        <v/>
      </c>
      <c r="K9" s="116">
        <f>H9*(1-Premissas!$C$19)*(1-$D$4)*(1-Premissas!$C$20)-J9</f>
        <v/>
      </c>
      <c r="L9" s="114">
        <f>G9*K9</f>
        <v/>
      </c>
      <c r="M9" s="112">
        <f>SUMIFS('Log diário'!$D:$D,'Log diário'!$B:$B,$B$2,'Log diário'!$C:$C,$A9)</f>
        <v/>
      </c>
      <c r="N9" s="114">
        <f>SUMIFS('Log diário'!$E:$E,'Log diário'!$B:$B,$B$2,'Log diário'!$C:$C,$A9)</f>
        <v/>
      </c>
      <c r="O9" s="112">
        <f>G9*Premissas!$C$10</f>
        <v/>
      </c>
      <c r="P9" s="117">
        <f>IFERROR(M9/O9,0)</f>
        <v/>
      </c>
      <c r="Q9" s="112">
        <f>IFERROR(M9/Premissas!$C$8*Premissas!$C$7,0)</f>
        <v/>
      </c>
      <c r="R9" s="112">
        <f>Q9-G9</f>
        <v/>
      </c>
      <c r="S9" s="118">
        <f>IFERROR(MAX(0,G9-M9)/Premissas!$C$9,0)</f>
        <v/>
      </c>
    </row>
    <row r="10" ht="15" customHeight="1" s="63">
      <c r="A10" s="73" t="inlineStr">
        <is>
          <t>REF527</t>
        </is>
      </c>
      <c r="B10" s="74" t="inlineStr">
        <is>
          <t>Sky Used</t>
        </is>
      </c>
      <c r="C10" s="74" t="inlineStr">
        <is>
          <t>H</t>
        </is>
      </c>
      <c r="D10" s="112" t="n">
        <v>26</v>
      </c>
      <c r="E10" s="113">
        <f>IFERROR(D10/$D$16,0)</f>
        <v/>
      </c>
      <c r="F10" s="92" t="n">
        <v>0</v>
      </c>
      <c r="G10" s="112">
        <f>ROUND(D10*(1+$B$4),0)+F10</f>
        <v/>
      </c>
      <c r="H10" s="97" t="n">
        <v>72.79000000000001</v>
      </c>
      <c r="I10" s="114">
        <f>G10*H10</f>
        <v/>
      </c>
      <c r="J10" s="115">
        <f>Premissas!$C$18</f>
        <v/>
      </c>
      <c r="K10" s="116">
        <f>H10*(1-Premissas!$C$19)*(1-$D$4)*(1-Premissas!$C$20)-J10</f>
        <v/>
      </c>
      <c r="L10" s="114">
        <f>G10*K10</f>
        <v/>
      </c>
      <c r="M10" s="112">
        <f>SUMIFS('Log diário'!$D:$D,'Log diário'!$B:$B,$B$2,'Log diário'!$C:$C,$A10)</f>
        <v/>
      </c>
      <c r="N10" s="114">
        <f>SUMIFS('Log diário'!$E:$E,'Log diário'!$B:$B,$B$2,'Log diário'!$C:$C,$A10)</f>
        <v/>
      </c>
      <c r="O10" s="112">
        <f>G10*Premissas!$C$10</f>
        <v/>
      </c>
      <c r="P10" s="117">
        <f>IFERROR(M10/O10,0)</f>
        <v/>
      </c>
      <c r="Q10" s="112">
        <f>IFERROR(M10/Premissas!$C$8*Premissas!$C$7,0)</f>
        <v/>
      </c>
      <c r="R10" s="112">
        <f>Q10-G10</f>
        <v/>
      </c>
      <c r="S10" s="118">
        <f>IFERROR(MAX(0,G10-M10)/Premissas!$C$9,0)</f>
        <v/>
      </c>
    </row>
    <row r="11" ht="15" customHeight="1" s="63">
      <c r="A11" s="73" t="inlineStr">
        <is>
          <t>REF551</t>
        </is>
      </c>
      <c r="B11" s="74" t="inlineStr">
        <is>
          <t>Azul Médio</t>
        </is>
      </c>
      <c r="C11" s="74" t="inlineStr">
        <is>
          <t>E</t>
        </is>
      </c>
      <c r="D11" s="112" t="n">
        <v>17</v>
      </c>
      <c r="E11" s="113">
        <f>IFERROR(D11/$D$16,0)</f>
        <v/>
      </c>
      <c r="F11" s="92" t="n">
        <v>0</v>
      </c>
      <c r="G11" s="112">
        <f>ROUND(D11*(1+$B$4),0)+F11</f>
        <v/>
      </c>
      <c r="H11" s="97" t="n">
        <v>85.11</v>
      </c>
      <c r="I11" s="114">
        <f>G11*H11</f>
        <v/>
      </c>
      <c r="J11" s="115">
        <f>Premissas!$C$18</f>
        <v/>
      </c>
      <c r="K11" s="116">
        <f>H11*(1-Premissas!$C$19)*(1-$D$4)*(1-Premissas!$C$20)-J11</f>
        <v/>
      </c>
      <c r="L11" s="114">
        <f>G11*K11</f>
        <v/>
      </c>
      <c r="M11" s="112">
        <f>SUMIFS('Log diário'!$D:$D,'Log diário'!$B:$B,$B$2,'Log diário'!$C:$C,$A11)</f>
        <v/>
      </c>
      <c r="N11" s="114">
        <f>SUMIFS('Log diário'!$E:$E,'Log diário'!$B:$B,$B$2,'Log diário'!$C:$C,$A11)</f>
        <v/>
      </c>
      <c r="O11" s="112">
        <f>G11*Premissas!$C$10</f>
        <v/>
      </c>
      <c r="P11" s="117">
        <f>IFERROR(M11/O11,0)</f>
        <v/>
      </c>
      <c r="Q11" s="112">
        <f>IFERROR(M11/Premissas!$C$8*Premissas!$C$7,0)</f>
        <v/>
      </c>
      <c r="R11" s="112">
        <f>Q11-G11</f>
        <v/>
      </c>
      <c r="S11" s="118">
        <f>IFERROR(MAX(0,G11-M11)/Premissas!$C$9,0)</f>
        <v/>
      </c>
    </row>
    <row r="12" ht="15" customHeight="1" s="63">
      <c r="A12" s="73" t="inlineStr">
        <is>
          <t>REF588</t>
        </is>
      </c>
      <c r="B12" s="74" t="inlineStr">
        <is>
          <t>Mom Marmorizada</t>
        </is>
      </c>
      <c r="C12" s="74" t="inlineStr">
        <is>
          <t>E</t>
        </is>
      </c>
      <c r="D12" s="112" t="n">
        <v>15</v>
      </c>
      <c r="E12" s="113">
        <f>IFERROR(D12/$D$16,0)</f>
        <v/>
      </c>
      <c r="F12" s="92" t="n">
        <v>0</v>
      </c>
      <c r="G12" s="112">
        <f>ROUND(D12*(1+$B$4),0)+F12</f>
        <v/>
      </c>
      <c r="H12" s="97" t="n">
        <v>85.13</v>
      </c>
      <c r="I12" s="114">
        <f>G12*H12</f>
        <v/>
      </c>
      <c r="J12" s="115">
        <f>Premissas!$C$18</f>
        <v/>
      </c>
      <c r="K12" s="116">
        <f>H12*(1-Premissas!$C$19)*(1-$D$4)*(1-Premissas!$C$20)-J12</f>
        <v/>
      </c>
      <c r="L12" s="114">
        <f>G12*K12</f>
        <v/>
      </c>
      <c r="M12" s="112">
        <f>SUMIFS('Log diário'!$D:$D,'Log diário'!$B:$B,$B$2,'Log diário'!$C:$C,$A12)</f>
        <v/>
      </c>
      <c r="N12" s="114">
        <f>SUMIFS('Log diário'!$E:$E,'Log diário'!$B:$B,$B$2,'Log diário'!$C:$C,$A12)</f>
        <v/>
      </c>
      <c r="O12" s="112">
        <f>G12*Premissas!$C$10</f>
        <v/>
      </c>
      <c r="P12" s="117">
        <f>IFERROR(M12/O12,0)</f>
        <v/>
      </c>
      <c r="Q12" s="112">
        <f>IFERROR(M12/Premissas!$C$8*Premissas!$C$7,0)</f>
        <v/>
      </c>
      <c r="R12" s="112">
        <f>Q12-G12</f>
        <v/>
      </c>
      <c r="S12" s="118">
        <f>IFERROR(MAX(0,G12-M12)/Premissas!$C$9,0)</f>
        <v/>
      </c>
    </row>
    <row r="13" ht="15" customHeight="1" s="63">
      <c r="A13" s="73" t="inlineStr">
        <is>
          <t>REF528</t>
        </is>
      </c>
      <c r="B13" s="74" t="inlineStr">
        <is>
          <t>Wide 528</t>
        </is>
      </c>
      <c r="C13" s="74" t="inlineStr">
        <is>
          <t>E</t>
        </is>
      </c>
      <c r="D13" s="112" t="n">
        <v>15</v>
      </c>
      <c r="E13" s="113">
        <f>IFERROR(D13/$D$16,0)</f>
        <v/>
      </c>
      <c r="F13" s="92" t="n">
        <v>0</v>
      </c>
      <c r="G13" s="112">
        <f>ROUND(D13*(1+$B$4),0)+F13</f>
        <v/>
      </c>
      <c r="H13" s="97" t="n">
        <v>80.48</v>
      </c>
      <c r="I13" s="114">
        <f>G13*H13</f>
        <v/>
      </c>
      <c r="J13" s="115">
        <f>Premissas!$C$18</f>
        <v/>
      </c>
      <c r="K13" s="116">
        <f>H13*(1-Premissas!$C$19)*(1-$D$4)*(1-Premissas!$C$20)-J13</f>
        <v/>
      </c>
      <c r="L13" s="114">
        <f>G13*K13</f>
        <v/>
      </c>
      <c r="M13" s="112">
        <f>SUMIFS('Log diário'!$D:$D,'Log diário'!$B:$B,$B$2,'Log diário'!$C:$C,$A13)</f>
        <v/>
      </c>
      <c r="N13" s="114">
        <f>SUMIFS('Log diário'!$E:$E,'Log diário'!$B:$B,$B$2,'Log diário'!$C:$C,$A13)</f>
        <v/>
      </c>
      <c r="O13" s="112">
        <f>G13*Premissas!$C$10</f>
        <v/>
      </c>
      <c r="P13" s="117">
        <f>IFERROR(M13/O13,0)</f>
        <v/>
      </c>
      <c r="Q13" s="112">
        <f>IFERROR(M13/Premissas!$C$8*Premissas!$C$7,0)</f>
        <v/>
      </c>
      <c r="R13" s="112">
        <f>Q13-G13</f>
        <v/>
      </c>
      <c r="S13" s="118">
        <f>IFERROR(MAX(0,G13-M13)/Premissas!$C$9,0)</f>
        <v/>
      </c>
    </row>
    <row r="14" ht="15" customHeight="1" s="63">
      <c r="A14" s="73" t="inlineStr">
        <is>
          <t>REF562</t>
        </is>
      </c>
      <c r="B14" s="74" t="inlineStr">
        <is>
          <t>Chocolate</t>
        </is>
      </c>
      <c r="C14" s="74" t="inlineStr">
        <is>
          <t>E</t>
        </is>
      </c>
      <c r="D14" s="112" t="n">
        <v>9</v>
      </c>
      <c r="E14" s="113">
        <f>IFERROR(D14/$D$16,0)</f>
        <v/>
      </c>
      <c r="F14" s="92" t="n">
        <v>0</v>
      </c>
      <c r="G14" s="112">
        <f>ROUND(D14*(1+$B$4),0)+F14</f>
        <v/>
      </c>
      <c r="H14" s="97" t="n">
        <v>85.63</v>
      </c>
      <c r="I14" s="114">
        <f>G14*H14</f>
        <v/>
      </c>
      <c r="J14" s="115">
        <f>Premissas!$C$18</f>
        <v/>
      </c>
      <c r="K14" s="116">
        <f>H14*(1-Premissas!$C$19)*(1-$D$4)*(1-Premissas!$C$20)-J14</f>
        <v/>
      </c>
      <c r="L14" s="114">
        <f>G14*K14</f>
        <v/>
      </c>
      <c r="M14" s="112">
        <f>SUMIFS('Log diário'!$D:$D,'Log diário'!$B:$B,$B$2,'Log diário'!$C:$C,$A14)</f>
        <v/>
      </c>
      <c r="N14" s="114">
        <f>SUMIFS('Log diário'!$E:$E,'Log diário'!$B:$B,$B$2,'Log diário'!$C:$C,$A14)</f>
        <v/>
      </c>
      <c r="O14" s="112">
        <f>G14*Premissas!$C$10</f>
        <v/>
      </c>
      <c r="P14" s="117">
        <f>IFERROR(M14/O14,0)</f>
        <v/>
      </c>
      <c r="Q14" s="112">
        <f>IFERROR(M14/Premissas!$C$8*Premissas!$C$7,0)</f>
        <v/>
      </c>
      <c r="R14" s="112">
        <f>Q14-G14</f>
        <v/>
      </c>
      <c r="S14" s="118">
        <f>IFERROR(MAX(0,G14-M14)/Premissas!$C$9,0)</f>
        <v/>
      </c>
    </row>
    <row r="15" ht="15" customHeight="1" s="63">
      <c r="A15" s="73" t="inlineStr">
        <is>
          <t>CAUDA</t>
        </is>
      </c>
      <c r="B15" s="74" t="inlineStr">
        <is>
          <t>SKUs de cauda não detalhados</t>
        </is>
      </c>
      <c r="C15" s="74" t="inlineStr">
        <is>
          <t>—</t>
        </is>
      </c>
      <c r="D15" s="112" t="n">
        <v>46</v>
      </c>
      <c r="E15" s="113">
        <f>IFERROR(D15/$D$16,0)</f>
        <v/>
      </c>
      <c r="F15" s="92" t="n">
        <v>0</v>
      </c>
      <c r="G15" s="112">
        <f>ROUND(D15*(1+$B$4),0)+F15</f>
        <v/>
      </c>
      <c r="H15" s="97" t="n">
        <v>76.05</v>
      </c>
      <c r="I15" s="114">
        <f>G15*H15</f>
        <v/>
      </c>
      <c r="J15" s="115">
        <f>Premissas!$C$18</f>
        <v/>
      </c>
      <c r="K15" s="116">
        <f>H15*(1-Premissas!$C$19)*(1-$D$4)*(1-Premissas!$C$20)-J15</f>
        <v/>
      </c>
      <c r="L15" s="114">
        <f>G15*K15</f>
        <v/>
      </c>
      <c r="M15" s="112">
        <f>SUMIFS('Log diário'!$D:$D,'Log diário'!$B:$B,$B$2,'Log diário'!$C:$C,$A15)</f>
        <v/>
      </c>
      <c r="N15" s="114">
        <f>SUMIFS('Log diário'!$E:$E,'Log diário'!$B:$B,$B$2,'Log diário'!$C:$C,$A15)</f>
        <v/>
      </c>
      <c r="O15" s="112">
        <f>G15*Premissas!$C$10</f>
        <v/>
      </c>
      <c r="P15" s="117">
        <f>IFERROR(M15/O15,0)</f>
        <v/>
      </c>
      <c r="Q15" s="112">
        <f>IFERROR(M15/Premissas!$C$8*Premissas!$C$7,0)</f>
        <v/>
      </c>
      <c r="R15" s="112">
        <f>Q15-G15</f>
        <v/>
      </c>
      <c r="S15" s="118">
        <f>IFERROR(MAX(0,G15-M15)/Premissas!$C$9,0)</f>
        <v/>
      </c>
    </row>
    <row r="16" ht="15" customHeight="1" s="63">
      <c r="A16" s="81" t="inlineStr">
        <is>
          <t>TOTAL</t>
        </is>
      </c>
      <c r="B16" s="81" t="n"/>
      <c r="C16" s="81" t="n"/>
      <c r="D16" s="82">
        <f>SUM(D8:D15)</f>
        <v/>
      </c>
      <c r="E16" s="85">
        <f>SUM(E8:E15)</f>
        <v/>
      </c>
      <c r="F16" s="82">
        <f>SUM(F8:F15)</f>
        <v/>
      </c>
      <c r="G16" s="82">
        <f>SUM(G8:G15)</f>
        <v/>
      </c>
      <c r="H16" s="119" t="n"/>
      <c r="I16" s="83">
        <f>SUM(I8:I15)</f>
        <v/>
      </c>
      <c r="J16" s="119" t="n"/>
      <c r="K16" s="119" t="n"/>
      <c r="L16" s="83">
        <f>SUM(L8:L15)</f>
        <v/>
      </c>
      <c r="M16" s="82">
        <f>SUM(M8:M15)</f>
        <v/>
      </c>
      <c r="N16" s="83">
        <f>SUM(N8:N15)</f>
        <v/>
      </c>
      <c r="O16" s="82">
        <f>SUM(O8:O15)</f>
        <v/>
      </c>
      <c r="P16" s="84">
        <f>IFERROR(M16/O16,0)</f>
        <v/>
      </c>
      <c r="Q16" s="82">
        <f>SUM(Q8:Q15)</f>
        <v/>
      </c>
      <c r="R16" s="82">
        <f>SUM(R8:R15)</f>
        <v/>
      </c>
      <c r="S16" s="120">
        <f>SUM(S8:S15)</f>
        <v/>
      </c>
    </row>
    <row r="17" ht="15" customHeight="1" s="63">
      <c r="A17" s="73" t="inlineStr">
        <is>
          <t>Σ Hero</t>
        </is>
      </c>
      <c r="B17" s="74" t="n"/>
      <c r="C17" s="74" t="n"/>
      <c r="D17" s="112">
        <f>SUMIFS(D8:D15,$C$8:$C$15,"H")</f>
        <v/>
      </c>
      <c r="E17" s="74" t="n"/>
      <c r="F17" s="74" t="n"/>
      <c r="G17" s="112">
        <f>SUMIFS(G8:G15,$C$8:$C$15,"H")</f>
        <v/>
      </c>
      <c r="H17" s="74" t="n"/>
      <c r="I17" s="74" t="n"/>
      <c r="J17" s="74" t="n"/>
      <c r="K17" s="74" t="n"/>
      <c r="L17" s="114">
        <f>SUMIFS(L8:L15,$C$8:$C$15,"H")</f>
        <v/>
      </c>
    </row>
    <row r="18" ht="15" customHeight="1" s="63">
      <c r="A18" s="73" t="inlineStr">
        <is>
          <t>Σ Esteira</t>
        </is>
      </c>
      <c r="B18" s="74" t="n"/>
      <c r="C18" s="74" t="n"/>
      <c r="D18" s="112">
        <f>SUMIFS(D8:D15,$C$8:$C$15,"E")</f>
        <v/>
      </c>
      <c r="E18" s="74" t="n"/>
      <c r="F18" s="74" t="n"/>
      <c r="G18" s="112">
        <f>SUMIFS(G8:G15,$C$8:$C$15,"E")</f>
        <v/>
      </c>
      <c r="H18" s="74" t="n"/>
      <c r="I18" s="74" t="n"/>
      <c r="J18" s="74" t="n"/>
      <c r="K18" s="74" t="n"/>
      <c r="L18" s="114">
        <f>SUMIFS(L8:L15,$C$8:$C$15,"E")</f>
        <v/>
      </c>
    </row>
    <row r="20" ht="15" customHeight="1" s="63">
      <c r="A20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21" ht="15" customHeight="1" s="63">
      <c r="A21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S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Vitrine loja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Vitrine loja</t>
        </is>
      </c>
      <c r="C2" s="66" t="inlineStr">
        <is>
          <t>Superfície:</t>
        </is>
      </c>
      <c r="D2" s="89" t="inlineStr">
        <is>
          <t>VITRINE DA LOJA</t>
        </is>
      </c>
      <c r="F2" s="66" t="inlineStr">
        <is>
          <t>Atribuição:</t>
        </is>
      </c>
      <c r="G2" s="89" t="inlineStr">
        <is>
          <t>Loja / vendedor</t>
        </is>
      </c>
      <c r="I2" s="66" t="inlineStr">
        <is>
          <t>Confiança da base jul:</t>
        </is>
      </c>
      <c r="K2" s="121" t="inlineStr">
        <is>
          <t>TRANSVERSAL — shop_tab R$89.369 (jul, API 202605) SOBREPÕE card/loja; não somável no NET (lente de superfície, não de último-conteúdo).</t>
        </is>
      </c>
    </row>
    <row r="3" ht="15" customHeight="1" s="63">
      <c r="A3" s="66" t="inlineStr">
        <is>
          <t>Alavanca principal:</t>
        </is>
      </c>
      <c r="B3" s="89" t="inlineStr">
        <is>
          <t>A definir — organizar vitrine por curva e coleção</t>
        </is>
      </c>
    </row>
    <row r="4" ht="15" customHeight="1" s="63">
      <c r="A4" s="66" t="inlineStr">
        <is>
          <t>Crescimento vs base:</t>
        </is>
      </c>
      <c r="B4" s="107">
        <f>Premissas!$C$31</f>
        <v/>
      </c>
      <c r="C4" s="66" t="inlineStr">
        <is>
          <t>Comissão afiliada:</t>
        </is>
      </c>
      <c r="D4" s="107">
        <f>Premissas!$D$31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G9</f>
        <v/>
      </c>
      <c r="C5" s="66" t="inlineStr">
        <is>
          <t>Meta GMV:</t>
        </is>
      </c>
      <c r="D5" s="110">
        <f>I9</f>
        <v/>
      </c>
      <c r="F5" s="66" t="inlineStr">
        <is>
          <t>Contribuição meta:</t>
        </is>
      </c>
      <c r="G5" s="110">
        <f>L9</f>
        <v/>
      </c>
      <c r="I5" s="66" t="inlineStr">
        <is>
          <t>Índice de pace:</t>
        </is>
      </c>
      <c r="K5" s="111">
        <f>P9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—</t>
        </is>
      </c>
      <c r="B8" s="74" t="inlineStr">
        <is>
          <t>Sem base de julho para este canal</t>
        </is>
      </c>
      <c r="C8" s="74" t="inlineStr">
        <is>
          <t>—</t>
        </is>
      </c>
      <c r="D8" s="112" t="n">
        <v>0</v>
      </c>
      <c r="E8" s="113">
        <f>IFERROR(D8/$D$9,0)</f>
        <v/>
      </c>
      <c r="F8" s="92" t="n">
        <v>0</v>
      </c>
      <c r="G8" s="112">
        <f>ROUND(D8*(1+$B$4),0)+F8</f>
        <v/>
      </c>
      <c r="H8" s="97" t="n">
        <v>0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81" t="inlineStr">
        <is>
          <t>TOTAL</t>
        </is>
      </c>
      <c r="B9" s="81" t="n"/>
      <c r="C9" s="81" t="n"/>
      <c r="D9" s="82">
        <f>SUM(D8:D8)</f>
        <v/>
      </c>
      <c r="E9" s="85">
        <f>SUM(E8:E8)</f>
        <v/>
      </c>
      <c r="F9" s="82">
        <f>SUM(F8:F8)</f>
        <v/>
      </c>
      <c r="G9" s="82">
        <f>SUM(G8:G8)</f>
        <v/>
      </c>
      <c r="H9" s="119" t="n"/>
      <c r="I9" s="83">
        <f>SUM(I8:I8)</f>
        <v/>
      </c>
      <c r="J9" s="119" t="n"/>
      <c r="K9" s="119" t="n"/>
      <c r="L9" s="83">
        <f>SUM(L8:L8)</f>
        <v/>
      </c>
      <c r="M9" s="82">
        <f>SUM(M8:M8)</f>
        <v/>
      </c>
      <c r="N9" s="83">
        <f>SUM(N8:N8)</f>
        <v/>
      </c>
      <c r="O9" s="82">
        <f>SUM(O8:O8)</f>
        <v/>
      </c>
      <c r="P9" s="84">
        <f>IFERROR(M9/O9,0)</f>
        <v/>
      </c>
      <c r="Q9" s="82">
        <f>SUM(Q8:Q8)</f>
        <v/>
      </c>
      <c r="R9" s="82">
        <f>SUM(R8:R8)</f>
        <v/>
      </c>
      <c r="S9" s="120">
        <f>SUM(S8:S8)</f>
        <v/>
      </c>
    </row>
    <row r="10" ht="15" customHeight="1" s="63">
      <c r="A10" s="73" t="inlineStr">
        <is>
          <t>Σ Hero</t>
        </is>
      </c>
      <c r="B10" s="74" t="n"/>
      <c r="C10" s="74" t="n"/>
      <c r="D10" s="112">
        <f>SUMIFS(D8:D8,$C$8:$C$8,"H")</f>
        <v/>
      </c>
      <c r="E10" s="74" t="n"/>
      <c r="F10" s="74" t="n"/>
      <c r="G10" s="112">
        <f>SUMIFS(G8:G8,$C$8:$C$8,"H")</f>
        <v/>
      </c>
      <c r="H10" s="74" t="n"/>
      <c r="I10" s="74" t="n"/>
      <c r="J10" s="74" t="n"/>
      <c r="K10" s="74" t="n"/>
      <c r="L10" s="114">
        <f>SUMIFS(L8:L8,$C$8:$C$8,"H")</f>
        <v/>
      </c>
    </row>
    <row r="11" ht="15" customHeight="1" s="63">
      <c r="A11" s="73" t="inlineStr">
        <is>
          <t>Σ Esteira</t>
        </is>
      </c>
      <c r="B11" s="74" t="n"/>
      <c r="C11" s="74" t="n"/>
      <c r="D11" s="112">
        <f>SUMIFS(D8:D8,$C$8:$C$8,"E")</f>
        <v/>
      </c>
      <c r="E11" s="74" t="n"/>
      <c r="F11" s="74" t="n"/>
      <c r="G11" s="112">
        <f>SUMIFS(G8:G8,$C$8:$C$8,"E")</f>
        <v/>
      </c>
      <c r="H11" s="74" t="n"/>
      <c r="I11" s="74" t="n"/>
      <c r="J11" s="74" t="n"/>
      <c r="K11" s="74" t="n"/>
      <c r="L11" s="114">
        <f>SUMIFS(L8:L8,$C$8:$C$8,"E")</f>
        <v/>
      </c>
    </row>
    <row r="13" ht="15" customHeight="1" s="63">
      <c r="A13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14" ht="15" customHeight="1" s="63">
      <c r="A14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S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2" min="1" max="1"/>
    <col width="22" customWidth="1" style="62" min="2" max="2"/>
    <col width="5" customWidth="1" style="62" min="3" max="3"/>
    <col width="12" customWidth="1" style="62" min="4" max="4"/>
    <col width="8" customWidth="1" style="62" min="5" max="5"/>
    <col width="10" customWidth="1" style="62" min="6" max="7"/>
    <col width="11" customWidth="1" style="62" min="8" max="8"/>
    <col width="12" customWidth="1" style="62" min="9" max="9"/>
    <col width="9" customWidth="1" style="62" min="10" max="10"/>
    <col width="11" customWidth="1" style="62" min="11" max="11"/>
    <col width="13" customWidth="1" style="62" min="12" max="12"/>
    <col width="12" customWidth="1" style="62" min="13" max="13"/>
    <col width="13" customWidth="1" style="62" min="14" max="15"/>
    <col width="11" customWidth="1" style="62" min="16" max="16"/>
    <col width="12" customWidth="1" style="62" min="17" max="18"/>
    <col width="14" customWidth="1" style="62" min="19" max="19"/>
  </cols>
  <sheetData>
    <row r="1" ht="16.15" customHeight="1" s="63">
      <c r="A1" s="64" t="inlineStr">
        <is>
          <t>Busca e Mall — meta por SKU e pace diário</t>
        </is>
      </c>
    </row>
    <row r="2" ht="15" customHeight="1" s="63">
      <c r="A2" s="66" t="inlineStr">
        <is>
          <t>Canal (chave):</t>
        </is>
      </c>
      <c r="B2" s="89" t="inlineStr">
        <is>
          <t>Busca e Mall</t>
        </is>
      </c>
      <c r="C2" s="66" t="inlineStr">
        <is>
          <t>Superfície:</t>
        </is>
      </c>
      <c r="D2" s="89" t="inlineStr">
        <is>
          <t>BUSCA / MALL / OUTROS</t>
        </is>
      </c>
      <c r="F2" s="66" t="inlineStr">
        <is>
          <t>Atribuição:</t>
        </is>
      </c>
      <c r="G2" s="89" t="inlineStr">
        <is>
          <t>Misto</t>
        </is>
      </c>
      <c r="I2" s="66" t="inlineStr">
        <is>
          <t>Confiança da base jul:</t>
        </is>
      </c>
      <c r="K2" s="121" t="inlineStr">
        <is>
          <t>R$0 — nesta atribuição (API 202605) total = seller(live+vídeo+card)+afiliada, resíduo zero. Sem balde separado.</t>
        </is>
      </c>
    </row>
    <row r="3" ht="15" customHeight="1" s="63">
      <c r="A3" s="66" t="inlineStr">
        <is>
          <t>Alavanca principal:</t>
        </is>
      </c>
      <c r="B3" s="89" t="inlineStr">
        <is>
          <t>A definir — SEO de título/atributo de produto</t>
        </is>
      </c>
    </row>
    <row r="4" ht="15" customHeight="1" s="63">
      <c r="A4" s="66" t="inlineStr">
        <is>
          <t>Crescimento vs base:</t>
        </is>
      </c>
      <c r="B4" s="107">
        <f>Premissas!$C$32</f>
        <v/>
      </c>
      <c r="C4" s="66" t="inlineStr">
        <is>
          <t>Comissão afiliada:</t>
        </is>
      </c>
      <c r="D4" s="107">
        <f>Premissas!$D$32</f>
        <v/>
      </c>
      <c r="F4" s="66" t="inlineStr">
        <is>
          <t>CPV padrão:</t>
        </is>
      </c>
      <c r="G4" s="108">
        <f>Premissas!$C$18</f>
        <v/>
      </c>
    </row>
    <row r="5" ht="15" customHeight="1" s="63">
      <c r="A5" s="66" t="inlineStr">
        <is>
          <t>Meta do canal (pç):</t>
        </is>
      </c>
      <c r="B5" s="109">
        <f>G9</f>
        <v/>
      </c>
      <c r="C5" s="66" t="inlineStr">
        <is>
          <t>Meta GMV:</t>
        </is>
      </c>
      <c r="D5" s="110">
        <f>I9</f>
        <v/>
      </c>
      <c r="F5" s="66" t="inlineStr">
        <is>
          <t>Contribuição meta:</t>
        </is>
      </c>
      <c r="G5" s="110">
        <f>L9</f>
        <v/>
      </c>
      <c r="I5" s="66" t="inlineStr">
        <is>
          <t>Índice de pace:</t>
        </is>
      </c>
      <c r="K5" s="111">
        <f>P9</f>
        <v/>
      </c>
    </row>
    <row r="7" ht="30" customHeight="1" s="63">
      <c r="A7" s="72" t="inlineStr">
        <is>
          <t>SKU</t>
        </is>
      </c>
      <c r="B7" s="72" t="inlineStr">
        <is>
          <t>Produto</t>
        </is>
      </c>
      <c r="C7" s="72" t="inlineStr">
        <is>
          <t>Cl</t>
        </is>
      </c>
      <c r="D7" s="72" t="inlineStr">
        <is>
          <t>Base jul (pç)</t>
        </is>
      </c>
      <c r="E7" s="72" t="inlineStr">
        <is>
          <t>Mix jul</t>
        </is>
      </c>
      <c r="F7" s="72" t="inlineStr">
        <is>
          <t>Ajuste (pç)</t>
        </is>
      </c>
      <c r="G7" s="72" t="inlineStr">
        <is>
          <t>Meta (pç)</t>
        </is>
      </c>
      <c r="H7" s="72" t="inlineStr">
        <is>
          <t>Preço plan.</t>
        </is>
      </c>
      <c r="I7" s="72" t="inlineStr">
        <is>
          <t>Meta GMV</t>
        </is>
      </c>
      <c r="J7" s="72" t="inlineStr">
        <is>
          <t>CPV</t>
        </is>
      </c>
      <c r="K7" s="72" t="inlineStr">
        <is>
          <t>Contrib./pç</t>
        </is>
      </c>
      <c r="L7" s="72" t="inlineStr">
        <is>
          <t>Contrib. meta</t>
        </is>
      </c>
      <c r="M7" s="72" t="inlineStr">
        <is>
          <t>Real MTD (pç)</t>
        </is>
      </c>
      <c r="N7" s="72" t="inlineStr">
        <is>
          <t>Real MTD (R$)</t>
        </is>
      </c>
      <c r="O7" s="72" t="inlineStr">
        <is>
          <t>Esperado MTD</t>
        </is>
      </c>
      <c r="P7" s="72" t="inlineStr">
        <is>
          <t>Índice pace</t>
        </is>
      </c>
      <c r="Q7" s="72" t="inlineStr">
        <is>
          <t>Projeção fim</t>
        </is>
      </c>
      <c r="R7" s="72" t="inlineStr">
        <is>
          <t>Gap vs meta</t>
        </is>
      </c>
      <c r="S7" s="72" t="inlineStr">
        <is>
          <t>Pç/dia p/ fechar</t>
        </is>
      </c>
    </row>
    <row r="8" ht="15" customHeight="1" s="63">
      <c r="A8" s="73" t="inlineStr">
        <is>
          <t>—</t>
        </is>
      </c>
      <c r="B8" s="74" t="inlineStr">
        <is>
          <t>Sem base de julho para este canal</t>
        </is>
      </c>
      <c r="C8" s="74" t="inlineStr">
        <is>
          <t>—</t>
        </is>
      </c>
      <c r="D8" s="112" t="n">
        <v>0</v>
      </c>
      <c r="E8" s="113">
        <f>IFERROR(D8/$D$9,0)</f>
        <v/>
      </c>
      <c r="F8" s="92" t="n">
        <v>0</v>
      </c>
      <c r="G8" s="112">
        <f>ROUND(D8*(1+$B$4),0)+F8</f>
        <v/>
      </c>
      <c r="H8" s="97" t="n">
        <v>0</v>
      </c>
      <c r="I8" s="114">
        <f>G8*H8</f>
        <v/>
      </c>
      <c r="J8" s="115">
        <f>Premissas!$C$18</f>
        <v/>
      </c>
      <c r="K8" s="116">
        <f>H8*(1-Premissas!$C$19)*(1-$D$4)*(1-Premissas!$C$20)-J8</f>
        <v/>
      </c>
      <c r="L8" s="114">
        <f>G8*K8</f>
        <v/>
      </c>
      <c r="M8" s="112">
        <f>SUMIFS('Log diário'!$D:$D,'Log diário'!$B:$B,$B$2,'Log diário'!$C:$C,$A8)</f>
        <v/>
      </c>
      <c r="N8" s="114">
        <f>SUMIFS('Log diário'!$E:$E,'Log diário'!$B:$B,$B$2,'Log diário'!$C:$C,$A8)</f>
        <v/>
      </c>
      <c r="O8" s="112">
        <f>G8*Premissas!$C$10</f>
        <v/>
      </c>
      <c r="P8" s="117">
        <f>IFERROR(M8/O8,0)</f>
        <v/>
      </c>
      <c r="Q8" s="112">
        <f>IFERROR(M8/Premissas!$C$8*Premissas!$C$7,0)</f>
        <v/>
      </c>
      <c r="R8" s="112">
        <f>Q8-G8</f>
        <v/>
      </c>
      <c r="S8" s="118">
        <f>IFERROR(MAX(0,G8-M8)/Premissas!$C$9,0)</f>
        <v/>
      </c>
    </row>
    <row r="9" ht="15" customHeight="1" s="63">
      <c r="A9" s="81" t="inlineStr">
        <is>
          <t>TOTAL</t>
        </is>
      </c>
      <c r="B9" s="81" t="n"/>
      <c r="C9" s="81" t="n"/>
      <c r="D9" s="82">
        <f>SUM(D8:D8)</f>
        <v/>
      </c>
      <c r="E9" s="85">
        <f>SUM(E8:E8)</f>
        <v/>
      </c>
      <c r="F9" s="82">
        <f>SUM(F8:F8)</f>
        <v/>
      </c>
      <c r="G9" s="82">
        <f>SUM(G8:G8)</f>
        <v/>
      </c>
      <c r="H9" s="119" t="n"/>
      <c r="I9" s="83">
        <f>SUM(I8:I8)</f>
        <v/>
      </c>
      <c r="J9" s="119" t="n"/>
      <c r="K9" s="119" t="n"/>
      <c r="L9" s="83">
        <f>SUM(L8:L8)</f>
        <v/>
      </c>
      <c r="M9" s="82">
        <f>SUM(M8:M8)</f>
        <v/>
      </c>
      <c r="N9" s="83">
        <f>SUM(N8:N8)</f>
        <v/>
      </c>
      <c r="O9" s="82">
        <f>SUM(O8:O8)</f>
        <v/>
      </c>
      <c r="P9" s="84">
        <f>IFERROR(M9/O9,0)</f>
        <v/>
      </c>
      <c r="Q9" s="82">
        <f>SUM(Q8:Q8)</f>
        <v/>
      </c>
      <c r="R9" s="82">
        <f>SUM(R8:R8)</f>
        <v/>
      </c>
      <c r="S9" s="120">
        <f>SUM(S8:S8)</f>
        <v/>
      </c>
    </row>
    <row r="10" ht="15" customHeight="1" s="63">
      <c r="A10" s="73" t="inlineStr">
        <is>
          <t>Σ Hero</t>
        </is>
      </c>
      <c r="B10" s="74" t="n"/>
      <c r="C10" s="74" t="n"/>
      <c r="D10" s="112">
        <f>SUMIFS(D8:D8,$C$8:$C$8,"H")</f>
        <v/>
      </c>
      <c r="E10" s="74" t="n"/>
      <c r="F10" s="74" t="n"/>
      <c r="G10" s="112">
        <f>SUMIFS(G8:G8,$C$8:$C$8,"H")</f>
        <v/>
      </c>
      <c r="H10" s="74" t="n"/>
      <c r="I10" s="74" t="n"/>
      <c r="J10" s="74" t="n"/>
      <c r="K10" s="74" t="n"/>
      <c r="L10" s="114">
        <f>SUMIFS(L8:L8,$C$8:$C$8,"H")</f>
        <v/>
      </c>
    </row>
    <row r="11" ht="15" customHeight="1" s="63">
      <c r="A11" s="73" t="inlineStr">
        <is>
          <t>Σ Esteira</t>
        </is>
      </c>
      <c r="B11" s="74" t="n"/>
      <c r="C11" s="74" t="n"/>
      <c r="D11" s="112">
        <f>SUMIFS(D8:D8,$C$8:$C$8,"E")</f>
        <v/>
      </c>
      <c r="E11" s="74" t="n"/>
      <c r="F11" s="74" t="n"/>
      <c r="G11" s="112">
        <f>SUMIFS(G8:G8,$C$8:$C$8,"E")</f>
        <v/>
      </c>
      <c r="H11" s="74" t="n"/>
      <c r="I11" s="74" t="n"/>
      <c r="J11" s="74" t="n"/>
      <c r="K11" s="74" t="n"/>
      <c r="L11" s="114">
        <f>SUMIFS(L8:L8,$C$8:$C$8,"E")</f>
        <v/>
      </c>
    </row>
    <row r="13" ht="15" customHeight="1" s="63">
      <c r="A13" s="71" t="inlineStr">
        <is>
          <t>Ajuste (pç) é a coluna azul onde você força um SKU específico — lançamento do 34, pré-escala do Chocolate, abertura do Baggy. Sem ela, o modelo só escala julho de forma plana, o que contradiz a sua própria estratégia de portfólio.</t>
        </is>
      </c>
    </row>
    <row r="14" ht="15" customHeight="1" s="63">
      <c r="A14" s="71" t="inlineStr">
        <is>
          <t>Índice de pace: 1,00x = exatamente no ritmo da meta. Abaixo de 1,00x = atrasado. Projeção fim = ritmo atual extrapolado até o dia 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62" min="1" max="1"/>
    <col width="18" customWidth="1" style="62" min="2" max="2"/>
    <col width="12" customWidth="1" style="62" min="3" max="3"/>
    <col width="10" customWidth="1" style="62" min="4" max="4"/>
    <col width="14" customWidth="1" style="62" min="5" max="5"/>
    <col width="78" customWidth="1" style="62" min="6" max="6"/>
  </cols>
  <sheetData>
    <row r="1" ht="16.15" customHeight="1" s="63">
      <c r="A1" s="64" t="inlineStr">
        <is>
          <t>LOG DIÁRIO — a única aba que o coletor precisa alimentar</t>
        </is>
      </c>
    </row>
    <row r="2" ht="15" customHeight="1" s="63">
      <c r="A2" s="71" t="inlineStr">
        <is>
          <t>Uma linha por dia × canal × SKU. Cole/anexe no fim. Todas as abas de canal leem daqui por SUMIFS — nada mais precisa ser regerado para o pace atualizar. O nome do canal tem que bater exatamente com a coluna Canal abaixo.</t>
        </is>
      </c>
    </row>
    <row r="4" ht="15" customHeight="1" s="63">
      <c r="A4" s="68" t="inlineStr">
        <is>
          <t>Data</t>
        </is>
      </c>
      <c r="B4" s="68" t="inlineStr">
        <is>
          <t>Canal</t>
        </is>
      </c>
      <c r="C4" s="68" t="inlineStr">
        <is>
          <t>SKU</t>
        </is>
      </c>
      <c r="D4" s="68" t="inlineStr">
        <is>
          <t>Peças</t>
        </is>
      </c>
      <c r="E4" s="68" t="inlineStr">
        <is>
          <t>GMV (R$)</t>
        </is>
      </c>
      <c r="F4" s="68" t="inlineStr">
        <is>
          <t>Origem do dado</t>
        </is>
      </c>
    </row>
    <row r="5" ht="15" customHeight="1" s="63">
      <c r="A5" s="122" t="n">
        <v>46237</v>
      </c>
      <c r="B5" s="86" t="inlineStr">
        <is>
          <t>Live afiliada</t>
        </is>
      </c>
      <c r="C5" s="86" t="inlineStr">
        <is>
          <t>REF516</t>
        </is>
      </c>
      <c r="D5" s="78" t="n">
        <v>83</v>
      </c>
      <c r="E5" s="123" t="n">
        <v>6015.01</v>
      </c>
      <c r="F5" s="86" t="inlineStr">
        <is>
          <t>MTD 01–03/08 agregado — GMV ESTIMADO (peças × preço médio jul), não medido</t>
        </is>
      </c>
    </row>
    <row r="6" ht="15" customHeight="1" s="63">
      <c r="A6" s="122" t="n">
        <v>46237</v>
      </c>
      <c r="B6" s="86" t="inlineStr">
        <is>
          <t>Live afiliada</t>
        </is>
      </c>
      <c r="C6" s="86" t="inlineStr">
        <is>
          <t>REF525</t>
        </is>
      </c>
      <c r="D6" s="78" t="n">
        <v>80</v>
      </c>
      <c r="E6" s="123" t="n">
        <v>5928.8</v>
      </c>
      <c r="F6" s="86" t="inlineStr">
        <is>
          <t>MTD 01–03/08 agregado — GMV ESTIMADO (peças × preço médio jul), não medido</t>
        </is>
      </c>
    </row>
    <row r="7" ht="15" customHeight="1" s="63">
      <c r="A7" s="122" t="n">
        <v>46237</v>
      </c>
      <c r="B7" s="86" t="inlineStr">
        <is>
          <t>Live afiliada</t>
        </is>
      </c>
      <c r="C7" s="86" t="inlineStr">
        <is>
          <t>REF527</t>
        </is>
      </c>
      <c r="D7" s="78" t="n">
        <v>25</v>
      </c>
      <c r="E7" s="123" t="n">
        <v>1811</v>
      </c>
      <c r="F7" s="86" t="inlineStr">
        <is>
          <t>MTD 01–03/08 agregado — GMV ESTIMADO (peças × preço médio jul), não medido</t>
        </is>
      </c>
    </row>
    <row r="8" ht="15" customHeight="1" s="63">
      <c r="A8" s="122" t="n">
        <v>46237</v>
      </c>
      <c r="B8" s="86" t="inlineStr">
        <is>
          <t>Live afiliada</t>
        </is>
      </c>
      <c r="C8" s="86" t="inlineStr">
        <is>
          <t>REF562</t>
        </is>
      </c>
      <c r="D8" s="78" t="n">
        <v>13</v>
      </c>
      <c r="E8" s="123" t="n">
        <v>1116.44</v>
      </c>
      <c r="F8" s="86" t="inlineStr">
        <is>
          <t>MTD 01–03/08 agregado — GMV ESTIMADO (peças × preço médio jul), não medido</t>
        </is>
      </c>
    </row>
    <row r="9" ht="15" customHeight="1" s="63">
      <c r="A9" s="122" t="n">
        <v>46237</v>
      </c>
      <c r="B9" s="86" t="inlineStr">
        <is>
          <t>Live afiliada</t>
        </is>
      </c>
      <c r="C9" s="86" t="inlineStr">
        <is>
          <t>REF551</t>
        </is>
      </c>
      <c r="D9" s="78" t="n">
        <v>2</v>
      </c>
      <c r="E9" s="123" t="n">
        <v>169.02</v>
      </c>
      <c r="F9" s="86" t="inlineStr">
        <is>
          <t>MTD 01–03/08 agregado — GMV ESTIMADO (peças × preço médio jul), não medido</t>
        </is>
      </c>
    </row>
    <row r="10" ht="15" customHeight="1" s="63">
      <c r="A10" s="122" t="n">
        <v>46237</v>
      </c>
      <c r="B10" s="86" t="inlineStr">
        <is>
          <t>Live afiliada</t>
        </is>
      </c>
      <c r="C10" s="86" t="inlineStr">
        <is>
          <t>REF528</t>
        </is>
      </c>
      <c r="D10" s="78" t="n">
        <v>6</v>
      </c>
      <c r="E10" s="123" t="n">
        <v>477.66</v>
      </c>
      <c r="F10" s="86" t="inlineStr">
        <is>
          <t>MTD 01–03/08 agregado — GMV ESTIMADO (peças × preço médio jul), não medido</t>
        </is>
      </c>
    </row>
    <row r="11" ht="15" customHeight="1" s="63">
      <c r="A11" s="122" t="n">
        <v>46237</v>
      </c>
      <c r="B11" s="86" t="inlineStr">
        <is>
          <t>Live afiliada</t>
        </is>
      </c>
      <c r="C11" s="86" t="inlineStr">
        <is>
          <t>REF588</t>
        </is>
      </c>
      <c r="D11" s="78" t="n">
        <v>1</v>
      </c>
      <c r="E11" s="123" t="n">
        <v>89.23999999999999</v>
      </c>
      <c r="F11" s="86" t="inlineStr">
        <is>
          <t>MTD 01–03/08 agregado — GMV ESTIMADO (peças × preço médio jul), não medido</t>
        </is>
      </c>
    </row>
    <row r="12" ht="15" customHeight="1" s="63">
      <c r="A12" s="122" t="n">
        <v>46237</v>
      </c>
      <c r="B12" s="86" t="inlineStr">
        <is>
          <t>Live afiliada</t>
        </is>
      </c>
      <c r="C12" s="86" t="inlineStr">
        <is>
          <t>REF549</t>
        </is>
      </c>
      <c r="D12" s="78" t="n">
        <v>1</v>
      </c>
      <c r="E12" s="123" t="n">
        <v>99.68000000000001</v>
      </c>
      <c r="F12" s="86" t="inlineStr">
        <is>
          <t>MTD 01–03/08 agregado — GMV ESTIMADO (peças × preço médio jul), não medido</t>
        </is>
      </c>
    </row>
    <row r="13" ht="15" customHeight="1" s="63">
      <c r="A13" s="122" t="n">
        <v>46237</v>
      </c>
      <c r="B13" s="86" t="inlineStr">
        <is>
          <t>Live afiliada</t>
        </is>
      </c>
      <c r="C13" s="86" t="inlineStr">
        <is>
          <t>REF550</t>
        </is>
      </c>
      <c r="D13" s="78" t="n">
        <v>2</v>
      </c>
      <c r="E13" s="123" t="n">
        <v>201.6</v>
      </c>
      <c r="F13" s="86" t="inlineStr">
        <is>
          <t>MTD 01–03/08 agregado — GMV ESTIMADO (peças × preço médio jul), não medido</t>
        </is>
      </c>
    </row>
    <row r="14" ht="15" customHeight="1" s="63">
      <c r="A14" s="122" t="n">
        <v>46237</v>
      </c>
      <c r="B14" s="86" t="inlineStr">
        <is>
          <t>Live afiliada</t>
        </is>
      </c>
      <c r="C14" s="86" t="inlineStr">
        <is>
          <t>REF547</t>
        </is>
      </c>
      <c r="D14" s="78" t="n">
        <v>3</v>
      </c>
      <c r="E14" s="123" t="n">
        <v>267.15</v>
      </c>
      <c r="F14" s="86" t="inlineStr">
        <is>
          <t>MTD 01–03/08 agregado — GMV ESTIMADO (peças × preço médio jul), não medido</t>
        </is>
      </c>
    </row>
    <row r="15" ht="15" customHeight="1" s="63">
      <c r="A15" s="122" t="n">
        <v>46237</v>
      </c>
      <c r="B15" s="86" t="inlineStr">
        <is>
          <t>Vídeo afiliada</t>
        </is>
      </c>
      <c r="C15" s="86" t="inlineStr">
        <is>
          <t>REF516</t>
        </is>
      </c>
      <c r="D15" s="78" t="n">
        <v>5</v>
      </c>
      <c r="E15" s="123" t="n">
        <v>465</v>
      </c>
      <c r="F15" s="86" t="inlineStr">
        <is>
          <t>MTD 01–03/08 agregado — GMV ESTIMADO (peças × preço médio jul), não medido</t>
        </is>
      </c>
    </row>
    <row r="16" ht="15" customHeight="1" s="63">
      <c r="A16" s="122" t="n">
        <v>46237</v>
      </c>
      <c r="B16" s="86" t="inlineStr">
        <is>
          <t>Vídeo afiliada</t>
        </is>
      </c>
      <c r="C16" s="86" t="inlineStr">
        <is>
          <t>REF527</t>
        </is>
      </c>
      <c r="D16" s="78" t="n">
        <v>3</v>
      </c>
      <c r="E16" s="123" t="n">
        <v>281.22</v>
      </c>
      <c r="F16" s="86" t="inlineStr">
        <is>
          <t>MTD 01–03/08 agregado — GMV ESTIMADO (peças × preço médio jul), não medido</t>
        </is>
      </c>
    </row>
    <row r="17" ht="15" customHeight="1" s="63">
      <c r="A17" s="122" t="n">
        <v>46237</v>
      </c>
      <c r="B17" s="86" t="inlineStr">
        <is>
          <t>Vídeo afiliada</t>
        </is>
      </c>
      <c r="C17" s="86" t="inlineStr">
        <is>
          <t>REF525</t>
        </is>
      </c>
      <c r="D17" s="78" t="n">
        <v>1</v>
      </c>
      <c r="E17" s="123" t="n">
        <v>98.27</v>
      </c>
      <c r="F17" s="86" t="inlineStr">
        <is>
          <t>MTD 01–03/08 agregado — GMV ESTIMADO (peças × preço médio jul), não medido</t>
        </is>
      </c>
    </row>
    <row r="18" ht="15" customHeight="1" s="63">
      <c r="A18" s="122" t="n">
        <v>46237</v>
      </c>
      <c r="B18" s="86" t="inlineStr">
        <is>
          <t>Vídeo afiliada</t>
        </is>
      </c>
      <c r="C18" s="86" t="inlineStr">
        <is>
          <t>REF588</t>
        </is>
      </c>
      <c r="D18" s="78" t="n">
        <v>1</v>
      </c>
      <c r="E18" s="123" t="n">
        <v>95.76000000000001</v>
      </c>
      <c r="F18" s="86" t="inlineStr">
        <is>
          <t>MTD 01–03/08 agregado — GMV ESTIMADO (peças × preço médio jul), não medido</t>
        </is>
      </c>
    </row>
    <row r="19" ht="15" customHeight="1" s="63">
      <c r="A19" s="122" t="n">
        <v>46237</v>
      </c>
      <c r="B19" s="86" t="inlineStr">
        <is>
          <t>Vídeo afiliada</t>
        </is>
      </c>
      <c r="C19" s="86" t="inlineStr">
        <is>
          <t>REF549</t>
        </is>
      </c>
      <c r="D19" s="78" t="n">
        <v>1</v>
      </c>
      <c r="E19" s="123" t="n">
        <v>97.23</v>
      </c>
      <c r="F19" s="86" t="inlineStr">
        <is>
          <t>MTD 01–03/08 agregado — GMV ESTIMADO (peças × preço médio jul), não medido</t>
        </is>
      </c>
    </row>
    <row r="20" ht="15" customHeight="1" s="63">
      <c r="A20" s="122" t="n">
        <v>46237</v>
      </c>
      <c r="B20" s="86" t="inlineStr">
        <is>
          <t>Vídeo afiliada</t>
        </is>
      </c>
      <c r="C20" s="86" t="inlineStr">
        <is>
          <t>REF559</t>
        </is>
      </c>
      <c r="D20" s="78" t="n">
        <v>1</v>
      </c>
      <c r="E20" s="123" t="n">
        <v>76.3</v>
      </c>
      <c r="F20" s="86" t="inlineStr">
        <is>
          <t>MTD 01–03/08 agregado — GMV ESTIMADO (peças × preço médio jul), não medido</t>
        </is>
      </c>
    </row>
    <row r="21" ht="15" customHeight="1" s="63">
      <c r="A21" s="122" t="n">
        <v>46237</v>
      </c>
      <c r="B21" s="86" t="inlineStr">
        <is>
          <t>Vídeo afiliada</t>
        </is>
      </c>
      <c r="C21" s="86" t="inlineStr">
        <is>
          <t>REF528</t>
        </is>
      </c>
      <c r="D21" s="78" t="n">
        <v>1</v>
      </c>
      <c r="E21" s="123" t="n">
        <v>83.68000000000001</v>
      </c>
      <c r="F21" s="86" t="inlineStr">
        <is>
          <t>MTD 01–03/08 agregado — GMV ESTIMADO (peças × preço médio jul), não medido</t>
        </is>
      </c>
    </row>
    <row r="22" ht="15" customHeight="1" s="63">
      <c r="A22" s="122" t="n">
        <v>46237</v>
      </c>
      <c r="B22" s="86" t="inlineStr">
        <is>
          <t>Live loja</t>
        </is>
      </c>
      <c r="C22" s="86" t="inlineStr">
        <is>
          <t>REF516</t>
        </is>
      </c>
      <c r="D22" s="78" t="n">
        <v>16</v>
      </c>
      <c r="E22" s="123" t="n">
        <v>1168.8</v>
      </c>
      <c r="F22" s="86" t="inlineStr">
        <is>
          <t>MTD 01–03/08 agregado — GMV ESTIMADO (peças × preço médio jul), não medido</t>
        </is>
      </c>
    </row>
    <row r="23" ht="15" customHeight="1" s="63">
      <c r="A23" s="122" t="n">
        <v>46237</v>
      </c>
      <c r="B23" s="86" t="inlineStr">
        <is>
          <t>Live loja</t>
        </is>
      </c>
      <c r="C23" s="86" t="inlineStr">
        <is>
          <t>REF525</t>
        </is>
      </c>
      <c r="D23" s="78" t="n">
        <v>11</v>
      </c>
      <c r="E23" s="123" t="n">
        <v>807.95</v>
      </c>
      <c r="F23" s="86" t="inlineStr">
        <is>
          <t>MTD 01–03/08 agregado — GMV ESTIMADO (peças × preço médio jul), não medido</t>
        </is>
      </c>
    </row>
    <row r="24" ht="15" customHeight="1" s="63">
      <c r="A24" s="122" t="n">
        <v>46237</v>
      </c>
      <c r="B24" s="86" t="inlineStr">
        <is>
          <t>Live loja</t>
        </is>
      </c>
      <c r="C24" s="86" t="inlineStr">
        <is>
          <t>REF527</t>
        </is>
      </c>
      <c r="D24" s="78" t="n">
        <v>6</v>
      </c>
      <c r="E24" s="123" t="n">
        <v>436.74</v>
      </c>
      <c r="F24" s="86" t="inlineStr">
        <is>
          <t>MTD 01–03/08 agregado — GMV ESTIMADO (peças × preço médio jul), não medido</t>
        </is>
      </c>
    </row>
    <row r="25" ht="15" customHeight="1" s="63">
      <c r="A25" s="122" t="n">
        <v>46237</v>
      </c>
      <c r="B25" s="86" t="inlineStr">
        <is>
          <t>Live loja</t>
        </is>
      </c>
      <c r="C25" s="86" t="inlineStr">
        <is>
          <t>REF551</t>
        </is>
      </c>
      <c r="D25" s="78" t="n">
        <v>3</v>
      </c>
      <c r="E25" s="123" t="n">
        <v>255.33</v>
      </c>
      <c r="F25" s="86" t="inlineStr">
        <is>
          <t>MTD 01–03/08 agregado — GMV ESTIMADO (peças × preço médio jul), não medido</t>
        </is>
      </c>
    </row>
    <row r="26" ht="15" customHeight="1" s="63">
      <c r="A26" s="122" t="n">
        <v>46237</v>
      </c>
      <c r="B26" s="86" t="inlineStr">
        <is>
          <t>Live loja</t>
        </is>
      </c>
      <c r="C26" s="86" t="inlineStr">
        <is>
          <t>REF588</t>
        </is>
      </c>
      <c r="D26" s="78" t="n">
        <v>1</v>
      </c>
      <c r="E26" s="123" t="n">
        <v>85.13</v>
      </c>
      <c r="F26" s="86" t="inlineStr">
        <is>
          <t>MTD 01–03/08 agregado — GMV ESTIMADO (peças × preço médio jul), não medido</t>
        </is>
      </c>
    </row>
    <row r="27" ht="15" customHeight="1" s="63">
      <c r="A27" s="122" t="n">
        <v>46237</v>
      </c>
      <c r="B27" s="86" t="inlineStr">
        <is>
          <t>Live loja</t>
        </is>
      </c>
      <c r="C27" s="86" t="inlineStr">
        <is>
          <t>REF528</t>
        </is>
      </c>
      <c r="D27" s="78" t="n">
        <v>8</v>
      </c>
      <c r="E27" s="123" t="n">
        <v>643.84</v>
      </c>
      <c r="F27" s="86" t="inlineStr">
        <is>
          <t>MTD 01–03/08 agregado — GMV ESTIMADO (peças × preço médio jul), não medido</t>
        </is>
      </c>
    </row>
    <row r="28" ht="15" customHeight="1" s="63">
      <c r="A28" s="122" t="n">
        <v>46237</v>
      </c>
      <c r="B28" s="86" t="inlineStr">
        <is>
          <t>Live loja</t>
        </is>
      </c>
      <c r="C28" s="86" t="inlineStr">
        <is>
          <t>REF562</t>
        </is>
      </c>
      <c r="D28" s="78" t="n">
        <v>6</v>
      </c>
      <c r="E28" s="123" t="n">
        <v>513.78</v>
      </c>
      <c r="F28" s="86" t="inlineStr">
        <is>
          <t>MTD 01–03/08 agregado — GMV ESTIMADO (peças × preço médio jul), não medido</t>
        </is>
      </c>
    </row>
    <row r="29" ht="15" customHeight="1" s="63">
      <c r="A29" s="122" t="n">
        <v>46237</v>
      </c>
      <c r="B29" s="86" t="inlineStr">
        <is>
          <t>Live loja</t>
        </is>
      </c>
      <c r="C29" s="86" t="inlineStr">
        <is>
          <t>REF587</t>
        </is>
      </c>
      <c r="D29" s="78" t="n">
        <v>2</v>
      </c>
      <c r="E29" s="123" t="n">
        <v>151.46</v>
      </c>
      <c r="F29" s="86" t="inlineStr">
        <is>
          <t>MTD 01–03/08 agregado — GMV ESTIMADO (peças × preço médio jul), não medido</t>
        </is>
      </c>
    </row>
    <row r="30" ht="15" customHeight="1" s="63">
      <c r="A30" s="122" t="n">
        <v>46237</v>
      </c>
      <c r="B30" s="86" t="inlineStr">
        <is>
          <t>Live loja</t>
        </is>
      </c>
      <c r="C30" s="86" t="inlineStr">
        <is>
          <t>REF547</t>
        </is>
      </c>
      <c r="D30" s="78" t="n">
        <v>3</v>
      </c>
      <c r="E30" s="123" t="n">
        <v>254.49</v>
      </c>
      <c r="F30" s="86" t="inlineStr">
        <is>
          <t>MTD 01–03/08 agregado — GMV ESTIMADO (peças × preço médio jul), não medido</t>
        </is>
      </c>
    </row>
    <row r="31" ht="15" customHeight="1" s="63">
      <c r="A31" s="122" t="n">
        <v>46237</v>
      </c>
      <c r="B31" s="86" t="inlineStr">
        <is>
          <t>Live loja</t>
        </is>
      </c>
      <c r="C31" s="86" t="inlineStr">
        <is>
          <t>REF549</t>
        </is>
      </c>
      <c r="D31" s="78" t="n">
        <v>1</v>
      </c>
      <c r="E31" s="123" t="n">
        <v>87.72</v>
      </c>
      <c r="F31" s="86" t="inlineStr">
        <is>
          <t>MTD 01–03/08 agregado — GMV ESTIMADO (peças × preço médio jul), não medido</t>
        </is>
      </c>
    </row>
    <row r="32" ht="15" customHeight="1" s="63">
      <c r="A32" s="122" t="n">
        <v>46237</v>
      </c>
      <c r="B32" s="86" t="inlineStr">
        <is>
          <t>Live loja</t>
        </is>
      </c>
      <c r="C32" s="86" t="inlineStr">
        <is>
          <t>REF546</t>
        </is>
      </c>
      <c r="D32" s="78" t="n">
        <v>2</v>
      </c>
      <c r="E32" s="123" t="n">
        <v>179.9</v>
      </c>
      <c r="F32" s="86" t="inlineStr">
        <is>
          <t>MTD 01–03/08 agregado — GMV ESTIMADO (peças × preço médio jul), não medido</t>
        </is>
      </c>
    </row>
    <row r="33" ht="15" customHeight="1" s="63">
      <c r="A33" s="122" t="n">
        <v>46237</v>
      </c>
      <c r="B33" s="86" t="inlineStr">
        <is>
          <t>Live loja</t>
        </is>
      </c>
      <c r="C33" s="86" t="inlineStr">
        <is>
          <t>REF550</t>
        </is>
      </c>
      <c r="D33" s="78" t="n">
        <v>1</v>
      </c>
      <c r="E33" s="123" t="n">
        <v>86.73999999999999</v>
      </c>
      <c r="F33" s="86" t="inlineStr">
        <is>
          <t>MTD 01–03/08 agregado — GMV ESTIMADO (peças × preço médio jul), não medido</t>
        </is>
      </c>
    </row>
    <row r="34" ht="15" customHeight="1" s="63">
      <c r="A34" s="122" t="n">
        <v>46237</v>
      </c>
      <c r="B34" s="86" t="inlineStr">
        <is>
          <t>Live loja</t>
        </is>
      </c>
      <c r="C34" s="86" t="inlineStr">
        <is>
          <t>REF566</t>
        </is>
      </c>
      <c r="D34" s="78" t="n">
        <v>1</v>
      </c>
      <c r="E34" s="123" t="n">
        <v>92.7</v>
      </c>
      <c r="F34" s="86" t="inlineStr">
        <is>
          <t>MTD 01–03/08 agregado — GMV ESTIMADO (peças × preço médio jul), não medido</t>
        </is>
      </c>
    </row>
    <row r="35" ht="15" customHeight="1" s="63">
      <c r="A35" s="122" t="n">
        <v>46237</v>
      </c>
      <c r="B35" s="86" t="inlineStr">
        <is>
          <t>Card loja</t>
        </is>
      </c>
      <c r="C35" s="86" t="inlineStr">
        <is>
          <t>REF516</t>
        </is>
      </c>
      <c r="D35" s="78" t="n">
        <v>2</v>
      </c>
      <c r="E35" s="123" t="n">
        <v>146.1</v>
      </c>
      <c r="F35" s="86" t="inlineStr">
        <is>
          <t>MTD 01–03/08 agregado — GMV ESTIMADO (peças × preço médio jul), não medido</t>
        </is>
      </c>
    </row>
    <row r="36" ht="15" customHeight="1" s="63">
      <c r="A36" s="122" t="n">
        <v>46237</v>
      </c>
      <c r="B36" s="86" t="inlineStr">
        <is>
          <t>Card loja</t>
        </is>
      </c>
      <c r="C36" s="86" t="inlineStr">
        <is>
          <t>REF525</t>
        </is>
      </c>
      <c r="D36" s="78" t="n">
        <v>1</v>
      </c>
      <c r="E36" s="123" t="n">
        <v>73.45</v>
      </c>
      <c r="F36" s="86" t="inlineStr">
        <is>
          <t>MTD 01–03/08 agregado — GMV ESTIMADO (peças × preço médio jul), não medido</t>
        </is>
      </c>
    </row>
    <row r="37" ht="15" customHeight="1" s="63">
      <c r="A37" s="122" t="n">
        <v>46237</v>
      </c>
      <c r="B37" s="86" t="inlineStr">
        <is>
          <t>Card loja</t>
        </is>
      </c>
      <c r="C37" s="86" t="inlineStr">
        <is>
          <t>REF527</t>
        </is>
      </c>
      <c r="D37" s="78" t="n">
        <v>1</v>
      </c>
      <c r="E37" s="123" t="n">
        <v>72.79000000000001</v>
      </c>
      <c r="F37" s="86" t="inlineStr">
        <is>
          <t>MTD 01–03/08 agregado — GMV ESTIMADO (peças × preço médio jul), não medido</t>
        </is>
      </c>
    </row>
    <row r="38" ht="15" customHeight="1" s="63">
      <c r="A38" s="122" t="n">
        <v>46237</v>
      </c>
      <c r="B38" s="86" t="inlineStr">
        <is>
          <t>Card loja</t>
        </is>
      </c>
      <c r="C38" s="86" t="inlineStr">
        <is>
          <t>REF528</t>
        </is>
      </c>
      <c r="D38" s="78" t="n">
        <v>1</v>
      </c>
      <c r="E38" s="123" t="n">
        <v>80.48</v>
      </c>
      <c r="F38" s="86" t="inlineStr">
        <is>
          <t>MTD 01–03/08 agregado — GMV ESTIMADO (peças × preço médio jul), não medido</t>
        </is>
      </c>
    </row>
    <row r="39" ht="15" customHeight="1" s="63">
      <c r="A39" s="122" t="n">
        <v>46237</v>
      </c>
      <c r="B39" s="86" t="inlineStr">
        <is>
          <t>Card loja</t>
        </is>
      </c>
      <c r="C39" s="86" t="inlineStr">
        <is>
          <t>REF562</t>
        </is>
      </c>
      <c r="D39" s="78" t="n">
        <v>1</v>
      </c>
      <c r="E39" s="123" t="n">
        <v>85.63</v>
      </c>
      <c r="F39" s="86" t="inlineStr">
        <is>
          <t>MTD 01–03/08 agregado — GMV ESTIMADO (peças × preço médio jul), não medido</t>
        </is>
      </c>
    </row>
    <row r="40" ht="15" customHeight="1" s="63">
      <c r="A40" s="122" t="n">
        <v>46237</v>
      </c>
      <c r="B40" s="86" t="inlineStr">
        <is>
          <t>Live afiliada</t>
        </is>
      </c>
      <c r="C40" s="86" t="inlineStr">
        <is>
          <t>CAUDA</t>
        </is>
      </c>
      <c r="D40" s="78" t="n">
        <v>3</v>
      </c>
      <c r="E40" s="123" t="n">
        <v>223.8</v>
      </c>
      <c r="F40" s="86" t="inlineStr">
        <is>
          <t>Delta entre o Resumo antigo e a soma das abas — SKUs de cauda que o relatório anterior perdia</t>
        </is>
      </c>
    </row>
    <row r="41" ht="15" customHeight="1" s="63">
      <c r="A41" s="122" t="n">
        <v>46237</v>
      </c>
      <c r="B41" s="86" t="inlineStr">
        <is>
          <t>Vídeo afiliada</t>
        </is>
      </c>
      <c r="C41" s="86" t="inlineStr">
        <is>
          <t>CAUDA</t>
        </is>
      </c>
      <c r="D41" s="78" t="n">
        <v>1</v>
      </c>
      <c r="E41" s="123" t="n">
        <v>94.16</v>
      </c>
      <c r="F41" s="86" t="inlineStr">
        <is>
          <t>Delta entre o Resumo antigo e a soma das abas — SKUs de cauda que o relatório anterior perdia</t>
        </is>
      </c>
    </row>
    <row r="42" ht="15" customHeight="1" s="63">
      <c r="A42" s="122" t="n">
        <v>46237</v>
      </c>
      <c r="B42" s="86" t="inlineStr">
        <is>
          <t>Vídeo loja</t>
        </is>
      </c>
      <c r="C42" s="86" t="inlineStr">
        <is>
          <t>CAUDA</t>
        </is>
      </c>
      <c r="D42" s="78" t="n">
        <v>2</v>
      </c>
      <c r="E42" s="123" t="n">
        <v>146.32</v>
      </c>
      <c r="F42" s="86" t="inlineStr">
        <is>
          <t>Delta entre o Resumo antigo e a soma das abas — SKUs de cauda que o relatório anterior perdia</t>
        </is>
      </c>
    </row>
    <row r="43" ht="15" customHeight="1" s="63">
      <c r="A43" s="122" t="n">
        <v>46237</v>
      </c>
      <c r="B43" s="86" t="inlineStr">
        <is>
          <t>Card loja</t>
        </is>
      </c>
      <c r="C43" s="86" t="inlineStr">
        <is>
          <t>CAUDA</t>
        </is>
      </c>
      <c r="D43" s="78" t="n">
        <v>1</v>
      </c>
      <c r="E43" s="123" t="n">
        <v>76.05</v>
      </c>
      <c r="F43" s="86" t="inlineStr">
        <is>
          <t>Delta entre o Resumo antigo e a soma das abas — SKUs de cauda que o relatório anterior perdia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2026-08-03T11:46:11Z</dcterms:created>
  <dcterms:modified xmlns:dcterms="http://purl.org/dc/terms/" xmlns:xsi="http://www.w3.org/2001/XMLSchema-instance" xsi:type="dcterms:W3CDTF">2026-08-03T12:15:38Z</dcterms:modified>
  <cp:revision>0</cp:revision>
</cp:coreProperties>
</file>