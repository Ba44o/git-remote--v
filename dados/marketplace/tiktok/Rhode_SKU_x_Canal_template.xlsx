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cuperação" sheetId="3" state="visible" r:id="rId3"/>
    <sheet xmlns:r="http://schemas.openxmlformats.org/officeDocument/2006/relationships" name="Soma SKU x Canal" sheetId="4" state="visible" r:id="rId4"/>
    <sheet xmlns:r="http://schemas.openxmlformats.org/officeDocument/2006/relationships" name="Premissas" sheetId="5" state="visible" r:id="rId5"/>
    <sheet xmlns:r="http://schemas.openxmlformats.org/officeDocument/2006/relationships" name="Alavancas" sheetId="6" state="visible" r:id="rId6"/>
    <sheet xmlns:r="http://schemas.openxmlformats.org/officeDocument/2006/relationships" name="Live afiliada" sheetId="7" state="visible" r:id="rId7"/>
    <sheet xmlns:r="http://schemas.openxmlformats.org/officeDocument/2006/relationships" name="Vídeo afiliada" sheetId="8" state="visible" r:id="rId8"/>
    <sheet xmlns:r="http://schemas.openxmlformats.org/officeDocument/2006/relationships" name="Card afiliada" sheetId="9" state="visible" r:id="rId9"/>
    <sheet xmlns:r="http://schemas.openxmlformats.org/officeDocument/2006/relationships" name="Live loja" sheetId="10" state="visible" r:id="rId10"/>
    <sheet xmlns:r="http://schemas.openxmlformats.org/officeDocument/2006/relationships" name="Vídeo loja" sheetId="11" state="visible" r:id="rId11"/>
    <sheet xmlns:r="http://schemas.openxmlformats.org/officeDocument/2006/relationships" name="Card loja" sheetId="12" state="visible" r:id="rId12"/>
    <sheet xmlns:r="http://schemas.openxmlformats.org/officeDocument/2006/relationships" name="Vitrine loja" sheetId="13" state="visible" r:id="rId13"/>
    <sheet xmlns:r="http://schemas.openxmlformats.org/officeDocument/2006/relationships" name="Busca e Mall" sheetId="14" state="visible" r:id="rId14"/>
    <sheet xmlns:r="http://schemas.openxmlformats.org/officeDocument/2006/relationships" name="Log diário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  <numFmt numFmtId="170" formatCode="#,##0&quot; dias&quot;"/>
    <numFmt numFmtId="171" formatCode="#,##0&quot;/d&quot;"/>
    <numFmt numFmtId="172" formatCode="0.0&quot;x&quot;"/>
    <numFmt numFmtId="173" formatCode="0.0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color rgb="001A1A1A"/>
      <sz val="14"/>
    </font>
    <font>
      <name val="Arial"/>
      <color rgb="007A7A7A"/>
      <sz val="9"/>
    </font>
    <font>
      <name val="Arial"/>
      <b val="1"/>
      <color rgb="00FFFFFF"/>
      <sz val="8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8"/>
    </font>
    <font>
      <name val="Arial"/>
      <b val="1"/>
      <color rgb="001E7E34"/>
      <sz val="9"/>
    </font>
    <font>
      <name val="Arial"/>
      <b val="1"/>
      <color rgb="001A1A1A"/>
      <sz val="10"/>
    </font>
    <font>
      <name val="Arial"/>
      <color rgb="007A7A7A"/>
      <sz val="8"/>
    </font>
    <font>
      <name val="Arial"/>
      <b val="1"/>
      <color rgb="00C0392B"/>
      <sz val="8"/>
    </font>
    <font>
      <name val="Arial"/>
      <b val="1"/>
      <color rgb="007A7A7A"/>
      <sz val="8"/>
    </font>
    <font>
      <name val="Arial"/>
      <b val="1"/>
      <color rgb="001E7E34"/>
      <sz val="10"/>
    </font>
    <font>
      <name val="Arial"/>
      <b val="1"/>
      <color rgb="001A1A1A"/>
      <sz val="15"/>
    </font>
    <font>
      <name val="Arial"/>
      <b val="1"/>
      <color rgb="00C0392B"/>
      <sz val="13"/>
    </font>
    <font>
      <name val="Arial"/>
      <b val="1"/>
      <color rgb="001A1A1A"/>
      <sz val="11"/>
    </font>
    <font>
      <name val="Arial"/>
      <b val="1"/>
      <color rgb="00FFFFFF"/>
      <sz val="9"/>
    </font>
    <font>
      <name val="Arial"/>
      <b val="1"/>
      <color rgb="00008000"/>
      <sz val="9"/>
    </font>
    <font>
      <name val="Arial"/>
      <b val="1"/>
      <color rgb="00C0392B"/>
      <sz val="9"/>
    </font>
    <font>
      <name val="Arial"/>
      <color rgb="00555555"/>
      <sz val="8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color rgb="000000FF"/>
      <sz val="10"/>
    </font>
    <font>
      <name val="Arial"/>
      <b val="1"/>
      <color rgb="001E7E34"/>
      <sz val="11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1A1A1A"/>
      </patternFill>
    </fill>
    <fill>
      <patternFill patternType="solid">
        <fgColor rgb="00FDECEA"/>
      </patternFill>
    </fill>
    <fill>
      <patternFill patternType="solid">
        <fgColor rgb="00F2F2F2"/>
      </patternFill>
    </fill>
    <fill>
      <patternFill patternType="solid">
        <fgColor rgb="00EAF2FB"/>
      </patternFill>
    </fill>
    <fill>
      <patternFill patternType="solid">
        <fgColor rgb="00EDEDED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  <xf numFmtId="0" fontId="15" fillId="5" borderId="2" applyAlignment="1" pivotButton="0" quotePrefix="0" xfId="0">
      <alignment horizontal="center" vertical="center"/>
    </xf>
    <xf numFmtId="0" fontId="16" fillId="0" borderId="2" pivotButton="0" quotePrefix="0" xfId="0"/>
    <xf numFmtId="0" fontId="17" fillId="0" borderId="2" pivotButton="0" quotePrefix="0" xfId="0"/>
    <xf numFmtId="0" fontId="18" fillId="6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right" vertical="center"/>
    </xf>
    <xf numFmtId="3" fontId="19" fillId="7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right" vertical="center"/>
    </xf>
    <xf numFmtId="0" fontId="20" fillId="7" borderId="2" pivotButton="0" quotePrefix="0" xfId="0"/>
    <xf numFmtId="0" fontId="0" fillId="7" borderId="2" pivotButton="0" quotePrefix="0" xfId="0"/>
    <xf numFmtId="3" fontId="20" fillId="7" borderId="2" applyAlignment="1" pivotButton="0" quotePrefix="0" xfId="0">
      <alignment horizontal="right" vertical="center"/>
    </xf>
    <xf numFmtId="0" fontId="21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2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center" vertical="center"/>
    </xf>
    <xf numFmtId="0" fontId="20" fillId="9" borderId="0" pivotButton="0" quotePrefix="0" xfId="0"/>
    <xf numFmtId="0" fontId="0" fillId="9" borderId="0" pivotButton="0" quotePrefix="0" xfId="0"/>
    <xf numFmtId="3" fontId="20" fillId="9" borderId="0" applyAlignment="1" pivotButton="0" quotePrefix="0" xfId="0">
      <alignment horizontal="right" vertical="center"/>
    </xf>
    <xf numFmtId="3" fontId="24" fillId="9" borderId="0" applyAlignment="1" pivotButton="0" quotePrefix="0" xfId="0">
      <alignment horizontal="right" vertical="center"/>
    </xf>
    <xf numFmtId="0" fontId="25" fillId="0" borderId="0" pivotButton="0" quotePrefix="0" xfId="0"/>
    <xf numFmtId="0" fontId="20" fillId="0" borderId="0" pivotButton="0" quotePrefix="0" xfId="0"/>
    <xf numFmtId="3" fontId="26" fillId="1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70" fontId="27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71" fontId="26" fillId="11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wrapText="1"/>
    </xf>
    <xf numFmtId="0" fontId="28" fillId="5" borderId="2" applyAlignment="1" pivotButton="0" quotePrefix="0" xfId="0">
      <alignment horizontal="center" vertical="center"/>
    </xf>
    <xf numFmtId="3" fontId="29" fillId="0" borderId="2" applyAlignment="1" pivotButton="0" quotePrefix="0" xfId="0">
      <alignment horizontal="right" vertical="center"/>
    </xf>
    <xf numFmtId="3" fontId="16" fillId="0" borderId="2" applyAlignment="1" pivotButton="0" quotePrefix="0" xfId="0">
      <alignment horizontal="right" vertical="center"/>
    </xf>
    <xf numFmtId="171" fontId="30" fillId="0" borderId="2" applyAlignment="1" pivotButton="0" quotePrefix="0" xfId="0">
      <alignment horizontal="right" vertical="center"/>
    </xf>
    <xf numFmtId="171" fontId="17" fillId="0" borderId="2" applyAlignment="1" pivotButton="0" quotePrefix="0" xfId="0">
      <alignment horizontal="right" vertical="center"/>
    </xf>
    <xf numFmtId="172" fontId="30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 wrapText="1"/>
    </xf>
    <xf numFmtId="0" fontId="20" fillId="9" borderId="2" pivotButton="0" quotePrefix="0" xfId="0"/>
    <xf numFmtId="3" fontId="20" fillId="9" borderId="2" applyAlignment="1" pivotButton="0" quotePrefix="0" xfId="0">
      <alignment horizontal="right" vertical="center"/>
    </xf>
    <xf numFmtId="171" fontId="32" fillId="9" borderId="2" applyAlignment="1" pivotButton="0" quotePrefix="0" xfId="0">
      <alignment horizontal="right" vertical="center"/>
    </xf>
    <xf numFmtId="171" fontId="20" fillId="9" borderId="2" applyAlignment="1" pivotButton="0" quotePrefix="0" xfId="0">
      <alignment horizontal="right" vertical="center"/>
    </xf>
    <xf numFmtId="172" fontId="32" fillId="9" borderId="2" applyAlignment="1" pivotButton="0" quotePrefix="0" xfId="0">
      <alignment horizontal="center" vertical="center"/>
    </xf>
    <xf numFmtId="0" fontId="0" fillId="9" borderId="2" pivotButton="0" quotePrefix="0" xfId="0"/>
    <xf numFmtId="0" fontId="33" fillId="0" borderId="0" pivotButton="0" quotePrefix="0" xfId="0"/>
    <xf numFmtId="3" fontId="34" fillId="11" borderId="2" applyAlignment="1" pivotButton="0" quotePrefix="0" xfId="0">
      <alignment horizontal="center" vertical="center"/>
    </xf>
    <xf numFmtId="3" fontId="35" fillId="12" borderId="2" applyAlignment="1" pivotButton="0" quotePrefix="0" xfId="0">
      <alignment horizontal="center" vertical="center"/>
    </xf>
    <xf numFmtId="0" fontId="31" fillId="0" borderId="0" pivotButton="0" quotePrefix="0" xfId="0"/>
    <xf numFmtId="3" fontId="20" fillId="0" borderId="0" applyAlignment="1" pivotButton="0" quotePrefix="0" xfId="0">
      <alignment horizontal="center" vertical="center"/>
    </xf>
    <xf numFmtId="173" fontId="34" fillId="11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SomaSKUxCanal" displayName="SomaSKUxCanal" ref="A4:L33" headerRowCount="1">
  <autoFilter ref="A4:L33"/>
  <tableColumns count="12">
    <tableColumn id="1" name="SKU"/>
    <tableColumn id="2" name="Produto"/>
    <tableColumn id="3" name="Cl"/>
    <tableColumn id="4" name="Live afiliada"/>
    <tableColumn id="5" name="Vídeo afiliada"/>
    <tableColumn id="6" name="Card afiliada"/>
    <tableColumn id="7" name="Live loja"/>
    <tableColumn id="8" name="Vídeo loja"/>
    <tableColumn id="9" name="Card loja"/>
    <tableColumn id="10" name="Vitrine loja"/>
    <tableColumn id="11" name="Busca e Mall"/>
    <tableColumn id="12" name="TOTAL SKU"/>
  </tableColumns>
  <tableStyleInfo name="TableStyleMedium2" showFirstColumn="0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8" customWidth="1" style="63" min="1" max="1"/>
    <col width="10" customWidth="1" style="63" min="2" max="2"/>
    <col width="9" customWidth="1" style="63" min="3" max="3"/>
    <col width="9" customWidth="1" style="63" min="4" max="4"/>
    <col width="11" customWidth="1" style="63" min="5" max="5"/>
    <col width="11" customWidth="1" style="63" min="6" max="6"/>
    <col width="7" customWidth="1" style="63" min="7" max="7"/>
    <col width="42" customWidth="1" style="63" min="8" max="8"/>
  </cols>
  <sheetData>
    <row r="1" ht="22" customHeight="1" s="63">
      <c r="A1" s="148" t="inlineStr">
        <is>
          <t>Plano de Recuperação — bater a meta do mês</t>
        </is>
      </c>
    </row>
    <row r="2">
      <c r="A2" s="125" t="inlineStr">
        <is>
          <t>Ritmo necessário por canal pra fechar a meta nos dias que faltam. Vivo: puxa MTD do Painel + dias das Premissas (carimbados HOJE pelo coletor).</t>
        </is>
      </c>
    </row>
    <row r="4">
      <c r="A4" s="149" t="inlineStr">
        <is>
          <t>FALTA (NET)</t>
        </is>
      </c>
      <c r="B4" s="150">
        <f>Painel!F14-Painel!I14</f>
        <v/>
      </c>
      <c r="C4" s="151" t="inlineStr">
        <is>
          <t>em</t>
        </is>
      </c>
      <c r="D4" s="152">
        <f>Premissas!C9</f>
        <v/>
      </c>
      <c r="E4" s="153">
        <f> ritmo nec:</f>
        <v/>
      </c>
      <c r="F4" s="154">
        <f>IFERROR((Painel!F14-Painel!I14)/Premissas!C9,0)</f>
        <v/>
      </c>
      <c r="G4" s="153" t="inlineStr">
        <is>
          <t>atual:</t>
        </is>
      </c>
      <c r="H4" s="155">
        <f>IFERROR(Painel!I14/Premissas!C8,0)&amp;" /dia hoje"</f>
        <v/>
      </c>
    </row>
    <row r="6">
      <c r="A6" s="156" t="inlineStr">
        <is>
          <t>Canal</t>
        </is>
      </c>
      <c r="B6" s="156" t="inlineStr">
        <is>
          <t>Meta</t>
        </is>
      </c>
      <c r="C6" s="156" t="inlineStr">
        <is>
          <t>MTD</t>
        </is>
      </c>
      <c r="D6" s="156" t="inlineStr">
        <is>
          <t>Falta</t>
        </is>
      </c>
      <c r="E6" s="156" t="inlineStr">
        <is>
          <t>Nec/dia</t>
        </is>
      </c>
      <c r="F6" s="156" t="inlineStr">
        <is>
          <t>Atual/dia</t>
        </is>
      </c>
      <c r="G6" s="156" t="inlineStr">
        <is>
          <t>Fator</t>
        </is>
      </c>
      <c r="H6" s="156" t="inlineStr">
        <is>
          <t>Alavanca (a jogada)</t>
        </is>
      </c>
    </row>
    <row r="7" ht="30" customHeight="1" s="63">
      <c r="A7" s="127" t="inlineStr">
        <is>
          <t>Live afiliada</t>
        </is>
      </c>
      <c r="B7" s="130">
        <f>Painel!F6</f>
        <v/>
      </c>
      <c r="C7" s="157">
        <f>Painel!I6</f>
        <v/>
      </c>
      <c r="D7" s="158">
        <f>MAX(0,B7-C7)</f>
        <v/>
      </c>
      <c r="E7" s="159">
        <f>IFERROR(D7/Premissas!$C$9,0)</f>
        <v/>
      </c>
      <c r="F7" s="160">
        <f>IFERROR(C7/Premissas!$C$8,0)</f>
        <v/>
      </c>
      <c r="G7" s="161">
        <f>IFERROR(E7/F7,0)</f>
        <v/>
      </c>
      <c r="H7" s="162" t="inlineStr">
        <is>
          <t>Rhode Squad — SUSTENTAR (já está no ritmo)</t>
        </is>
      </c>
    </row>
    <row r="8" ht="30" customHeight="1" s="63">
      <c r="A8" s="127" t="inlineStr">
        <is>
          <t>Live loja</t>
        </is>
      </c>
      <c r="B8" s="130">
        <f>Painel!F9</f>
        <v/>
      </c>
      <c r="C8" s="157">
        <f>Painel!I9</f>
        <v/>
      </c>
      <c r="D8" s="158">
        <f>MAX(0,B8-C8)</f>
        <v/>
      </c>
      <c r="E8" s="159">
        <f>IFERROR(D8/Premissas!$C$9,0)</f>
        <v/>
      </c>
      <c r="F8" s="160">
        <f>IFERROR(C8/Premissas!$C$8,0)</f>
        <v/>
      </c>
      <c r="G8" s="161">
        <f>IFERROR(E8/F8,0)</f>
        <v/>
      </c>
      <c r="H8" s="162" t="inlineStr">
        <is>
          <t>2× sessões próprias + mídia GMV-Max de live + COMBO 2ª peça (Marmor.+Stone). É o mais controlável — carrega o grosso.</t>
        </is>
      </c>
    </row>
    <row r="9" ht="30" customHeight="1" s="63">
      <c r="A9" s="127" t="inlineStr">
        <is>
          <t>Vídeo afiliada</t>
        </is>
      </c>
      <c r="B9" s="130">
        <f>Painel!F7</f>
        <v/>
      </c>
      <c r="C9" s="157">
        <f>Painel!I7</f>
        <v/>
      </c>
      <c r="D9" s="158">
        <f>MAX(0,B9-C9)</f>
        <v/>
      </c>
      <c r="E9" s="159">
        <f>IFERROR(D9/Premissas!$C$9,0)</f>
        <v/>
      </c>
      <c r="F9" s="160">
        <f>IFERROR(C9/Premissas!$C$8,0)</f>
        <v/>
      </c>
      <c r="G9" s="161">
        <f>IFERROR(E9/F9,0)</f>
        <v/>
      </c>
      <c r="H9" s="162" t="inlineStr">
        <is>
          <t>Copa/gamificação FIRAR (creators 5 vídeos/sem) + Chocolate no vídeo. Upside, depende de creator.</t>
        </is>
      </c>
    </row>
    <row r="10" ht="30" customHeight="1" s="63">
      <c r="A10" s="127" t="inlineStr">
        <is>
          <t>Card loja</t>
        </is>
      </c>
      <c r="B10" s="130">
        <f>Painel!F11</f>
        <v/>
      </c>
      <c r="C10" s="157">
        <f>Painel!I11</f>
        <v/>
      </c>
      <c r="D10" s="158">
        <f>MAX(0,B10-C10)</f>
        <v/>
      </c>
      <c r="E10" s="159">
        <f>IFERROR(D10/Premissas!$C$9,0)</f>
        <v/>
      </c>
      <c r="F10" s="160">
        <f>IFERROR(C10/Premissas!$C$8,0)</f>
        <v/>
      </c>
      <c r="G10" s="161">
        <f>IFERROR(E10/F10,0)</f>
        <v/>
      </c>
      <c r="H10" s="162" t="inlineStr">
        <is>
          <t>Mídia de card (só pós-holdout).</t>
        </is>
      </c>
    </row>
    <row r="11" ht="30" customHeight="1" s="63">
      <c r="A11" s="127" t="inlineStr">
        <is>
          <t>Card afiliada</t>
        </is>
      </c>
      <c r="B11" s="130">
        <f>Painel!F8</f>
        <v/>
      </c>
      <c r="C11" s="157">
        <f>Painel!I8</f>
        <v/>
      </c>
      <c r="D11" s="158">
        <f>MAX(0,B11-C11)</f>
        <v/>
      </c>
      <c r="E11" s="159">
        <f>IFERROR(D11/Premissas!$C$9,0)</f>
        <v/>
      </c>
      <c r="F11" s="160">
        <f>IFERROR(C11/Premissas!$C$8,0)</f>
        <v/>
      </c>
      <c r="G11" s="161">
        <f>IFERROR(E11/F11,0)</f>
        <v/>
      </c>
      <c r="H11" s="162" t="inlineStr">
        <is>
          <t>—</t>
        </is>
      </c>
    </row>
    <row r="12" ht="30" customHeight="1" s="63">
      <c r="A12" s="127" t="inlineStr">
        <is>
          <t>Vídeo loja</t>
        </is>
      </c>
      <c r="B12" s="130">
        <f>Painel!F10</f>
        <v/>
      </c>
      <c r="C12" s="157">
        <f>Painel!I10</f>
        <v/>
      </c>
      <c r="D12" s="158">
        <f>MAX(0,B12-C12)</f>
        <v/>
      </c>
      <c r="E12" s="159">
        <f>IFERROR(D12/Premissas!$C$9,0)</f>
        <v/>
      </c>
      <c r="F12" s="160">
        <f>IFERROR(C12/Premissas!$C$8,0)</f>
        <v/>
      </c>
      <c r="G12" s="161">
        <f>IFERROR(E12/F12,0)</f>
        <v/>
      </c>
      <c r="H12" s="162" t="inlineStr">
        <is>
          <t>—</t>
        </is>
      </c>
    </row>
    <row r="13">
      <c r="A13" s="163" t="inlineStr">
        <is>
          <t>NET</t>
        </is>
      </c>
      <c r="B13" s="164">
        <f>Painel!F14</f>
        <v/>
      </c>
      <c r="C13" s="164">
        <f>Painel!I14</f>
        <v/>
      </c>
      <c r="D13" s="164">
        <f>MAX(0,B13-C13)</f>
        <v/>
      </c>
      <c r="E13" s="165">
        <f>IFERROR(D13/Premissas!$C$9,0)</f>
        <v/>
      </c>
      <c r="F13" s="166">
        <f>IFERROR(C13/Premissas!$C$8,0)</f>
        <v/>
      </c>
      <c r="G13" s="167">
        <f>IFERROR(E13/F13,0)</f>
        <v/>
      </c>
      <c r="H13" s="168" t="n"/>
    </row>
    <row r="15">
      <c r="A15" s="169" t="inlineStr">
        <is>
          <t>TRADUÇÃO EM UNIDADES (edite os amarelos)</t>
        </is>
      </c>
    </row>
    <row r="16">
      <c r="A16" s="138" t="inlineStr">
        <is>
          <t>LIVE LOJA — falta vira nº de LIVES + COMBOS</t>
        </is>
      </c>
    </row>
    <row r="17">
      <c r="A17" s="139" t="inlineStr">
        <is>
          <t>Peças por live própria</t>
        </is>
      </c>
      <c r="B17" s="170" t="n">
        <v>60</v>
      </c>
    </row>
    <row r="18">
      <c r="A18" s="139" t="inlineStr">
        <is>
          <t>Peças por combo (2ª peça)</t>
        </is>
      </c>
      <c r="B18" s="170" t="n">
        <v>1</v>
      </c>
    </row>
    <row r="19">
      <c r="A19" s="139" t="inlineStr">
        <is>
          <t>→ Lives próprias extras no mês</t>
        </is>
      </c>
      <c r="B19" s="171">
        <f>IFERROR(D8/B17,0)</f>
        <v/>
      </c>
      <c r="D19" s="172" t="inlineStr">
        <is>
          <t>OU nº de combos (cada +1 peça)</t>
        </is>
      </c>
      <c r="E19" s="173">
        <f>D8</f>
        <v/>
      </c>
    </row>
    <row r="21">
      <c r="A21" s="138" t="inlineStr">
        <is>
          <t>VÍDEO AFILIADA — falta vira CREATORS a ativar</t>
        </is>
      </c>
    </row>
    <row r="22">
      <c r="A22" s="139" t="inlineStr">
        <is>
          <t>Vídeos/creator no restante do mês</t>
        </is>
      </c>
      <c r="B22" s="170" t="n">
        <v>8</v>
      </c>
    </row>
    <row r="23">
      <c r="A23" s="139" t="inlineStr">
        <is>
          <t>Peças por vídeo</t>
        </is>
      </c>
      <c r="B23" s="174" t="n">
        <v>1.2</v>
      </c>
    </row>
    <row r="24">
      <c r="A24" s="139" t="inlineStr">
        <is>
          <t>→ Creators a ativar/acelerar</t>
        </is>
      </c>
      <c r="B24" s="171">
        <f>IFERROR(D9/(B22*B23),0)</f>
        <v/>
      </c>
    </row>
    <row r="26" ht="30" customHeight="1" s="63">
      <c r="A26" s="175" t="inlineStr">
        <is>
          <t>Veredito: Live afiliada segura sozinha. O plano fecha se Live loja dobrar (controlável: lives+mídia+combo) e o vídeo firar via Copa (upside). Sem o vídeo, mês ~7,5-8k.</t>
        </is>
      </c>
    </row>
    <row r="27"/>
  </sheetData>
  <mergeCells count="1">
    <mergeCell ref="A26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1" customWidth="1" style="63" min="1" max="1"/>
    <col width="18" customWidth="1" style="63" min="2" max="2"/>
    <col width="5" customWidth="1" style="63" min="3" max="3"/>
    <col width="12" customWidth="1" style="63" min="4" max="4"/>
    <col width="12" customWidth="1" style="63" min="5" max="5"/>
    <col width="12" customWidth="1" style="63" min="6" max="6"/>
    <col width="12" customWidth="1" style="63" min="7" max="7"/>
    <col width="12" customWidth="1" style="63" min="8" max="8"/>
    <col width="12" customWidth="1" style="63" min="9" max="9"/>
    <col width="12" customWidth="1" style="63" min="10" max="10"/>
    <col width="12" customWidth="1" style="63" min="11" max="11"/>
    <col width="11" customWidth="1" style="63" min="12" max="12"/>
  </cols>
  <sheetData>
    <row r="1" ht="20" customHeight="1" s="63">
      <c r="A1" s="124" t="inlineStr">
        <is>
          <t>Soma geral — SKU × Canal (meta agosto, pç)</t>
        </is>
      </c>
    </row>
    <row r="2">
      <c r="A2" s="125" t="inlineStr">
        <is>
          <t>Matriz viva (SUMIFS das abas de canal). Filtro no cabeçalho · linhas zebradas · muda growth/ajuste → recalcula.</t>
        </is>
      </c>
    </row>
    <row r="4">
      <c r="A4" s="138" t="inlineStr">
        <is>
          <t>SKU</t>
        </is>
      </c>
      <c r="B4" s="138" t="inlineStr">
        <is>
          <t>Produto</t>
        </is>
      </c>
      <c r="C4" s="138" t="inlineStr">
        <is>
          <t>Cl</t>
        </is>
      </c>
      <c r="D4" s="138" t="inlineStr">
        <is>
          <t>Live afiliada</t>
        </is>
      </c>
      <c r="E4" s="138" t="inlineStr">
        <is>
          <t>Vídeo afiliada</t>
        </is>
      </c>
      <c r="F4" s="138" t="inlineStr">
        <is>
          <t>Card afiliada</t>
        </is>
      </c>
      <c r="G4" s="138" t="inlineStr">
        <is>
          <t>Live loja</t>
        </is>
      </c>
      <c r="H4" s="138" t="inlineStr">
        <is>
          <t>Vídeo loja</t>
        </is>
      </c>
      <c r="I4" s="138" t="inlineStr">
        <is>
          <t>Card loja</t>
        </is>
      </c>
      <c r="J4" s="138" t="inlineStr">
        <is>
          <t>Vitrine loja</t>
        </is>
      </c>
      <c r="K4" s="138" t="inlineStr">
        <is>
          <t>Busca e Mall</t>
        </is>
      </c>
      <c r="L4" s="138" t="inlineStr">
        <is>
          <t>TOTAL SKU</t>
        </is>
      </c>
    </row>
    <row r="5">
      <c r="A5" s="138" t="inlineStr">
        <is>
          <t>REF516</t>
        </is>
      </c>
      <c r="B5" s="139" t="inlineStr">
        <is>
          <t>Marmorizada</t>
        </is>
      </c>
      <c r="C5" s="140" t="inlineStr">
        <is>
          <t>H</t>
        </is>
      </c>
      <c r="D5" s="141">
        <f>SUMIFS('Live afiliada'!$G:$G,'Live afiliada'!$A:$A,$A5)</f>
        <v/>
      </c>
      <c r="E5" s="141">
        <f>SUMIFS('Vídeo afiliada'!$G:$G,'Vídeo afiliada'!$A:$A,$A5)</f>
        <v/>
      </c>
      <c r="F5" s="141">
        <f>SUMIFS('Card afiliada'!$G:$G,'Card afiliada'!$A:$A,$A5)</f>
        <v/>
      </c>
      <c r="G5" s="141">
        <f>SUMIFS('Live loja'!$G:$G,'Live loja'!$A:$A,$A5)</f>
        <v/>
      </c>
      <c r="H5" s="141">
        <f>SUMIFS('Vídeo loja'!$G:$G,'Vídeo loja'!$A:$A,$A5)</f>
        <v/>
      </c>
      <c r="I5" s="141">
        <f>SUMIFS('Card loja'!$G:$G,'Card loja'!$A:$A,$A5)</f>
        <v/>
      </c>
      <c r="J5" s="141">
        <f>SUMIFS('Vitrine loja'!$G:$G,'Vitrine loja'!$A:$A,$A5)</f>
        <v/>
      </c>
      <c r="K5" s="141">
        <f>SUMIFS('Busca e Mall'!$G:$G,'Busca e Mall'!$A:$A,$A5)</f>
        <v/>
      </c>
      <c r="L5" s="142">
        <f>SUM(D5:K5)</f>
        <v/>
      </c>
    </row>
    <row r="6">
      <c r="A6" s="138" t="inlineStr">
        <is>
          <t>REF525</t>
        </is>
      </c>
      <c r="B6" s="139" t="inlineStr">
        <is>
          <t>Stone Used</t>
        </is>
      </c>
      <c r="C6" s="140" t="inlineStr">
        <is>
          <t>H</t>
        </is>
      </c>
      <c r="D6" s="141">
        <f>SUMIFS('Live afiliada'!$G:$G,'Live afiliada'!$A:$A,$A6)</f>
        <v/>
      </c>
      <c r="E6" s="141">
        <f>SUMIFS('Vídeo afiliada'!$G:$G,'Vídeo afiliada'!$A:$A,$A6)</f>
        <v/>
      </c>
      <c r="F6" s="141">
        <f>SUMIFS('Card afiliada'!$G:$G,'Card afiliada'!$A:$A,$A6)</f>
        <v/>
      </c>
      <c r="G6" s="141">
        <f>SUMIFS('Live loja'!$G:$G,'Live loja'!$A:$A,$A6)</f>
        <v/>
      </c>
      <c r="H6" s="141">
        <f>SUMIFS('Vídeo loja'!$G:$G,'Vídeo loja'!$A:$A,$A6)</f>
        <v/>
      </c>
      <c r="I6" s="141">
        <f>SUMIFS('Card loja'!$G:$G,'Card loja'!$A:$A,$A6)</f>
        <v/>
      </c>
      <c r="J6" s="141">
        <f>SUMIFS('Vitrine loja'!$G:$G,'Vitrine loja'!$A:$A,$A6)</f>
        <v/>
      </c>
      <c r="K6" s="141">
        <f>SUMIFS('Busca e Mall'!$G:$G,'Busca e Mall'!$A:$A,$A6)</f>
        <v/>
      </c>
      <c r="L6" s="142">
        <f>SUM(D6:K6)</f>
        <v/>
      </c>
    </row>
    <row r="7">
      <c r="A7" s="138" t="inlineStr">
        <is>
          <t>REF527</t>
        </is>
      </c>
      <c r="B7" s="139" t="inlineStr">
        <is>
          <t>Sky Used</t>
        </is>
      </c>
      <c r="C7" s="140" t="inlineStr">
        <is>
          <t>H</t>
        </is>
      </c>
      <c r="D7" s="141">
        <f>SUMIFS('Live afiliada'!$G:$G,'Live afiliada'!$A:$A,$A7)</f>
        <v/>
      </c>
      <c r="E7" s="141">
        <f>SUMIFS('Vídeo afiliada'!$G:$G,'Vídeo afiliada'!$A:$A,$A7)</f>
        <v/>
      </c>
      <c r="F7" s="141">
        <f>SUMIFS('Card afiliada'!$G:$G,'Card afiliada'!$A:$A,$A7)</f>
        <v/>
      </c>
      <c r="G7" s="141">
        <f>SUMIFS('Live loja'!$G:$G,'Live loja'!$A:$A,$A7)</f>
        <v/>
      </c>
      <c r="H7" s="141">
        <f>SUMIFS('Vídeo loja'!$G:$G,'Vídeo loja'!$A:$A,$A7)</f>
        <v/>
      </c>
      <c r="I7" s="141">
        <f>SUMIFS('Card loja'!$G:$G,'Card loja'!$A:$A,$A7)</f>
        <v/>
      </c>
      <c r="J7" s="141">
        <f>SUMIFS('Vitrine loja'!$G:$G,'Vitrine loja'!$A:$A,$A7)</f>
        <v/>
      </c>
      <c r="K7" s="141">
        <f>SUMIFS('Busca e Mall'!$G:$G,'Busca e Mall'!$A:$A,$A7)</f>
        <v/>
      </c>
      <c r="L7" s="142">
        <f>SUM(D7:K7)</f>
        <v/>
      </c>
    </row>
    <row r="8">
      <c r="A8" s="138" t="inlineStr">
        <is>
          <t>REF562</t>
        </is>
      </c>
      <c r="B8" s="139" t="inlineStr">
        <is>
          <t>Chocolate</t>
        </is>
      </c>
      <c r="C8" s="143" t="inlineStr">
        <is>
          <t>E</t>
        </is>
      </c>
      <c r="D8" s="141">
        <f>SUMIFS('Live afiliada'!$G:$G,'Live afiliada'!$A:$A,$A8)</f>
        <v/>
      </c>
      <c r="E8" s="141">
        <f>SUMIFS('Vídeo afiliada'!$G:$G,'Vídeo afiliada'!$A:$A,$A8)</f>
        <v/>
      </c>
      <c r="F8" s="141">
        <f>SUMIFS('Card afiliada'!$G:$G,'Card afiliada'!$A:$A,$A8)</f>
        <v/>
      </c>
      <c r="G8" s="141">
        <f>SUMIFS('Live loja'!$G:$G,'Live loja'!$A:$A,$A8)</f>
        <v/>
      </c>
      <c r="H8" s="141">
        <f>SUMIFS('Vídeo loja'!$G:$G,'Vídeo loja'!$A:$A,$A8)</f>
        <v/>
      </c>
      <c r="I8" s="141">
        <f>SUMIFS('Card loja'!$G:$G,'Card loja'!$A:$A,$A8)</f>
        <v/>
      </c>
      <c r="J8" s="141">
        <f>SUMIFS('Vitrine loja'!$G:$G,'Vitrine loja'!$A:$A,$A8)</f>
        <v/>
      </c>
      <c r="K8" s="141">
        <f>SUMIFS('Busca e Mall'!$G:$G,'Busca e Mall'!$A:$A,$A8)</f>
        <v/>
      </c>
      <c r="L8" s="142">
        <f>SUM(D8:K8)</f>
        <v/>
      </c>
    </row>
    <row r="9">
      <c r="A9" s="138" t="inlineStr">
        <is>
          <t>REF551</t>
        </is>
      </c>
      <c r="B9" s="139" t="inlineStr">
        <is>
          <t>Azul Médio</t>
        </is>
      </c>
      <c r="C9" s="143" t="inlineStr">
        <is>
          <t>E</t>
        </is>
      </c>
      <c r="D9" s="141">
        <f>SUMIFS('Live afiliada'!$G:$G,'Live afiliada'!$A:$A,$A9)</f>
        <v/>
      </c>
      <c r="E9" s="141">
        <f>SUMIFS('Vídeo afiliada'!$G:$G,'Vídeo afiliada'!$A:$A,$A9)</f>
        <v/>
      </c>
      <c r="F9" s="141">
        <f>SUMIFS('Card afiliada'!$G:$G,'Card afiliada'!$A:$A,$A9)</f>
        <v/>
      </c>
      <c r="G9" s="141">
        <f>SUMIFS('Live loja'!$G:$G,'Live loja'!$A:$A,$A9)</f>
        <v/>
      </c>
      <c r="H9" s="141">
        <f>SUMIFS('Vídeo loja'!$G:$G,'Vídeo loja'!$A:$A,$A9)</f>
        <v/>
      </c>
      <c r="I9" s="141">
        <f>SUMIFS('Card loja'!$G:$G,'Card loja'!$A:$A,$A9)</f>
        <v/>
      </c>
      <c r="J9" s="141">
        <f>SUMIFS('Vitrine loja'!$G:$G,'Vitrine loja'!$A:$A,$A9)</f>
        <v/>
      </c>
      <c r="K9" s="141">
        <f>SUMIFS('Busca e Mall'!$G:$G,'Busca e Mall'!$A:$A,$A9)</f>
        <v/>
      </c>
      <c r="L9" s="142">
        <f>SUM(D9:K9)</f>
        <v/>
      </c>
    </row>
    <row r="10">
      <c r="A10" s="138" t="inlineStr">
        <is>
          <t>REF587</t>
        </is>
      </c>
      <c r="B10" s="139" t="inlineStr">
        <is>
          <t>Baggy Marmorizada</t>
        </is>
      </c>
      <c r="C10" s="143" t="inlineStr">
        <is>
          <t>E</t>
        </is>
      </c>
      <c r="D10" s="141">
        <f>SUMIFS('Live afiliada'!$G:$G,'Live afiliada'!$A:$A,$A10)</f>
        <v/>
      </c>
      <c r="E10" s="141">
        <f>SUMIFS('Vídeo afiliada'!$G:$G,'Vídeo afiliada'!$A:$A,$A10)</f>
        <v/>
      </c>
      <c r="F10" s="141">
        <f>SUMIFS('Card afiliada'!$G:$G,'Card afiliada'!$A:$A,$A10)</f>
        <v/>
      </c>
      <c r="G10" s="141">
        <f>SUMIFS('Live loja'!$G:$G,'Live loja'!$A:$A,$A10)</f>
        <v/>
      </c>
      <c r="H10" s="141">
        <f>SUMIFS('Vídeo loja'!$G:$G,'Vídeo loja'!$A:$A,$A10)</f>
        <v/>
      </c>
      <c r="I10" s="141">
        <f>SUMIFS('Card loja'!$G:$G,'Card loja'!$A:$A,$A10)</f>
        <v/>
      </c>
      <c r="J10" s="141">
        <f>SUMIFS('Vitrine loja'!$G:$G,'Vitrine loja'!$A:$A,$A10)</f>
        <v/>
      </c>
      <c r="K10" s="141">
        <f>SUMIFS('Busca e Mall'!$G:$G,'Busca e Mall'!$A:$A,$A10)</f>
        <v/>
      </c>
      <c r="L10" s="142">
        <f>SUM(D10:K10)</f>
        <v/>
      </c>
    </row>
    <row r="11">
      <c r="A11" s="138" t="inlineStr">
        <is>
          <t>REF528</t>
        </is>
      </c>
      <c r="B11" s="139" t="inlineStr">
        <is>
          <t>Wide 528</t>
        </is>
      </c>
      <c r="C11" s="143" t="inlineStr">
        <is>
          <t>E</t>
        </is>
      </c>
      <c r="D11" s="141">
        <f>SUMIFS('Live afiliada'!$G:$G,'Live afiliada'!$A:$A,$A11)</f>
        <v/>
      </c>
      <c r="E11" s="141">
        <f>SUMIFS('Vídeo afiliada'!$G:$G,'Vídeo afiliada'!$A:$A,$A11)</f>
        <v/>
      </c>
      <c r="F11" s="141">
        <f>SUMIFS('Card afiliada'!$G:$G,'Card afiliada'!$A:$A,$A11)</f>
        <v/>
      </c>
      <c r="G11" s="141">
        <f>SUMIFS('Live loja'!$G:$G,'Live loja'!$A:$A,$A11)</f>
        <v/>
      </c>
      <c r="H11" s="141">
        <f>SUMIFS('Vídeo loja'!$G:$G,'Vídeo loja'!$A:$A,$A11)</f>
        <v/>
      </c>
      <c r="I11" s="141">
        <f>SUMIFS('Card loja'!$G:$G,'Card loja'!$A:$A,$A11)</f>
        <v/>
      </c>
      <c r="J11" s="141">
        <f>SUMIFS('Vitrine loja'!$G:$G,'Vitrine loja'!$A:$A,$A11)</f>
        <v/>
      </c>
      <c r="K11" s="141">
        <f>SUMIFS('Busca e Mall'!$G:$G,'Busca e Mall'!$A:$A,$A11)</f>
        <v/>
      </c>
      <c r="L11" s="142">
        <f>SUM(D11:K11)</f>
        <v/>
      </c>
    </row>
    <row r="12">
      <c r="A12" s="138" t="inlineStr">
        <is>
          <t>REF588</t>
        </is>
      </c>
      <c r="B12" s="139" t="inlineStr">
        <is>
          <t>Mom Marmorizada</t>
        </is>
      </c>
      <c r="C12" s="143" t="inlineStr">
        <is>
          <t>E</t>
        </is>
      </c>
      <c r="D12" s="141">
        <f>SUMIFS('Live afiliada'!$G:$G,'Live afiliada'!$A:$A,$A12)</f>
        <v/>
      </c>
      <c r="E12" s="141">
        <f>SUMIFS('Vídeo afiliada'!$G:$G,'Vídeo afiliada'!$A:$A,$A12)</f>
        <v/>
      </c>
      <c r="F12" s="141">
        <f>SUMIFS('Card afiliada'!$G:$G,'Card afiliada'!$A:$A,$A12)</f>
        <v/>
      </c>
      <c r="G12" s="141">
        <f>SUMIFS('Live loja'!$G:$G,'Live loja'!$A:$A,$A12)</f>
        <v/>
      </c>
      <c r="H12" s="141">
        <f>SUMIFS('Vídeo loja'!$G:$G,'Vídeo loja'!$A:$A,$A12)</f>
        <v/>
      </c>
      <c r="I12" s="141">
        <f>SUMIFS('Card loja'!$G:$G,'Card loja'!$A:$A,$A12)</f>
        <v/>
      </c>
      <c r="J12" s="141">
        <f>SUMIFS('Vitrine loja'!$G:$G,'Vitrine loja'!$A:$A,$A12)</f>
        <v/>
      </c>
      <c r="K12" s="141">
        <f>SUMIFS('Busca e Mall'!$G:$G,'Busca e Mall'!$A:$A,$A12)</f>
        <v/>
      </c>
      <c r="L12" s="142">
        <f>SUM(D12:K12)</f>
        <v/>
      </c>
    </row>
    <row r="13">
      <c r="A13" s="138" t="inlineStr">
        <is>
          <t>REF529</t>
        </is>
      </c>
      <c r="B13" s="139" t="inlineStr">
        <is>
          <t>Wide 529</t>
        </is>
      </c>
      <c r="C13" s="143" t="inlineStr">
        <is>
          <t>E</t>
        </is>
      </c>
      <c r="D13" s="141">
        <f>SUMIFS('Live afiliada'!$G:$G,'Live afiliada'!$A:$A,$A13)</f>
        <v/>
      </c>
      <c r="E13" s="141">
        <f>SUMIFS('Vídeo afiliada'!$G:$G,'Vídeo afiliada'!$A:$A,$A13)</f>
        <v/>
      </c>
      <c r="F13" s="141">
        <f>SUMIFS('Card afiliada'!$G:$G,'Card afiliada'!$A:$A,$A13)</f>
        <v/>
      </c>
      <c r="G13" s="141">
        <f>SUMIFS('Live loja'!$G:$G,'Live loja'!$A:$A,$A13)</f>
        <v/>
      </c>
      <c r="H13" s="141">
        <f>SUMIFS('Vídeo loja'!$G:$G,'Vídeo loja'!$A:$A,$A13)</f>
        <v/>
      </c>
      <c r="I13" s="141">
        <f>SUMIFS('Card loja'!$G:$G,'Card loja'!$A:$A,$A13)</f>
        <v/>
      </c>
      <c r="J13" s="141">
        <f>SUMIFS('Vitrine loja'!$G:$G,'Vitrine loja'!$A:$A,$A13)</f>
        <v/>
      </c>
      <c r="K13" s="141">
        <f>SUMIFS('Busca e Mall'!$G:$G,'Busca e Mall'!$A:$A,$A13)</f>
        <v/>
      </c>
      <c r="L13" s="142">
        <f>SUM(D13:K13)</f>
        <v/>
      </c>
    </row>
    <row r="14">
      <c r="A14" s="138" t="inlineStr">
        <is>
          <t>REF549</t>
        </is>
      </c>
      <c r="B14" s="139" t="inlineStr">
        <is>
          <t>Rosa Bebê</t>
        </is>
      </c>
      <c r="C14" s="143" t="inlineStr">
        <is>
          <t>E</t>
        </is>
      </c>
      <c r="D14" s="141">
        <f>SUMIFS('Live afiliada'!$G:$G,'Live afiliada'!$A:$A,$A14)</f>
        <v/>
      </c>
      <c r="E14" s="141">
        <f>SUMIFS('Vídeo afiliada'!$G:$G,'Vídeo afiliada'!$A:$A,$A14)</f>
        <v/>
      </c>
      <c r="F14" s="141">
        <f>SUMIFS('Card afiliada'!$G:$G,'Card afiliada'!$A:$A,$A14)</f>
        <v/>
      </c>
      <c r="G14" s="141">
        <f>SUMIFS('Live loja'!$G:$G,'Live loja'!$A:$A,$A14)</f>
        <v/>
      </c>
      <c r="H14" s="141">
        <f>SUMIFS('Vídeo loja'!$G:$G,'Vídeo loja'!$A:$A,$A14)</f>
        <v/>
      </c>
      <c r="I14" s="141">
        <f>SUMIFS('Card loja'!$G:$G,'Card loja'!$A:$A,$A14)</f>
        <v/>
      </c>
      <c r="J14" s="141">
        <f>SUMIFS('Vitrine loja'!$G:$G,'Vitrine loja'!$A:$A,$A14)</f>
        <v/>
      </c>
      <c r="K14" s="141">
        <f>SUMIFS('Busca e Mall'!$G:$G,'Busca e Mall'!$A:$A,$A14)</f>
        <v/>
      </c>
      <c r="L14" s="142">
        <f>SUM(D14:K14)</f>
        <v/>
      </c>
    </row>
    <row r="15">
      <c r="A15" s="138" t="inlineStr">
        <is>
          <t>REF550</t>
        </is>
      </c>
      <c r="B15" s="139" t="inlineStr">
        <is>
          <t>Amarela</t>
        </is>
      </c>
      <c r="C15" s="143" t="inlineStr">
        <is>
          <t>E</t>
        </is>
      </c>
      <c r="D15" s="141">
        <f>SUMIFS('Live afiliada'!$G:$G,'Live afiliada'!$A:$A,$A15)</f>
        <v/>
      </c>
      <c r="E15" s="141">
        <f>SUMIFS('Vídeo afiliada'!$G:$G,'Vídeo afiliada'!$A:$A,$A15)</f>
        <v/>
      </c>
      <c r="F15" s="141">
        <f>SUMIFS('Card afiliada'!$G:$G,'Card afiliada'!$A:$A,$A15)</f>
        <v/>
      </c>
      <c r="G15" s="141">
        <f>SUMIFS('Live loja'!$G:$G,'Live loja'!$A:$A,$A15)</f>
        <v/>
      </c>
      <c r="H15" s="141">
        <f>SUMIFS('Vídeo loja'!$G:$G,'Vídeo loja'!$A:$A,$A15)</f>
        <v/>
      </c>
      <c r="I15" s="141">
        <f>SUMIFS('Card loja'!$G:$G,'Card loja'!$A:$A,$A15)</f>
        <v/>
      </c>
      <c r="J15" s="141">
        <f>SUMIFS('Vitrine loja'!$G:$G,'Vitrine loja'!$A:$A,$A15)</f>
        <v/>
      </c>
      <c r="K15" s="141">
        <f>SUMIFS('Busca e Mall'!$G:$G,'Busca e Mall'!$A:$A,$A15)</f>
        <v/>
      </c>
      <c r="L15" s="142">
        <f>SUM(D15:K15)</f>
        <v/>
      </c>
    </row>
    <row r="16">
      <c r="A16" s="138" t="inlineStr">
        <is>
          <t>REF547</t>
        </is>
      </c>
      <c r="B16" s="139" t="inlineStr">
        <is>
          <t>REF547</t>
        </is>
      </c>
      <c r="C16" s="143" t="inlineStr">
        <is>
          <t>E</t>
        </is>
      </c>
      <c r="D16" s="141">
        <f>SUMIFS('Live afiliada'!$G:$G,'Live afiliada'!$A:$A,$A16)</f>
        <v/>
      </c>
      <c r="E16" s="141">
        <f>SUMIFS('Vídeo afiliada'!$G:$G,'Vídeo afiliada'!$A:$A,$A16)</f>
        <v/>
      </c>
      <c r="F16" s="141">
        <f>SUMIFS('Card afiliada'!$G:$G,'Card afiliada'!$A:$A,$A16)</f>
        <v/>
      </c>
      <c r="G16" s="141">
        <f>SUMIFS('Live loja'!$G:$G,'Live loja'!$A:$A,$A16)</f>
        <v/>
      </c>
      <c r="H16" s="141">
        <f>SUMIFS('Vídeo loja'!$G:$G,'Vídeo loja'!$A:$A,$A16)</f>
        <v/>
      </c>
      <c r="I16" s="141">
        <f>SUMIFS('Card loja'!$G:$G,'Card loja'!$A:$A,$A16)</f>
        <v/>
      </c>
      <c r="J16" s="141">
        <f>SUMIFS('Vitrine loja'!$G:$G,'Vitrine loja'!$A:$A,$A16)</f>
        <v/>
      </c>
      <c r="K16" s="141">
        <f>SUMIFS('Busca e Mall'!$G:$G,'Busca e Mall'!$A:$A,$A16)</f>
        <v/>
      </c>
      <c r="L16" s="142">
        <f>SUM(D16:K16)</f>
        <v/>
      </c>
    </row>
    <row r="17">
      <c r="A17" s="138" t="inlineStr">
        <is>
          <t>CAUDA</t>
        </is>
      </c>
      <c r="B17" s="139" t="inlineStr">
        <is>
          <t>CAUDA</t>
        </is>
      </c>
      <c r="C17" s="143" t="inlineStr">
        <is>
          <t>E</t>
        </is>
      </c>
      <c r="D17" s="141">
        <f>SUMIFS('Live afiliada'!$G:$G,'Live afiliada'!$A:$A,$A17)</f>
        <v/>
      </c>
      <c r="E17" s="141">
        <f>SUMIFS('Vídeo afiliada'!$G:$G,'Vídeo afiliada'!$A:$A,$A17)</f>
        <v/>
      </c>
      <c r="F17" s="141">
        <f>SUMIFS('Card afiliada'!$G:$G,'Card afiliada'!$A:$A,$A17)</f>
        <v/>
      </c>
      <c r="G17" s="141">
        <f>SUMIFS('Live loja'!$G:$G,'Live loja'!$A:$A,$A17)</f>
        <v/>
      </c>
      <c r="H17" s="141">
        <f>SUMIFS('Vídeo loja'!$G:$G,'Vídeo loja'!$A:$A,$A17)</f>
        <v/>
      </c>
      <c r="I17" s="141">
        <f>SUMIFS('Card loja'!$G:$G,'Card loja'!$A:$A,$A17)</f>
        <v/>
      </c>
      <c r="J17" s="141">
        <f>SUMIFS('Vitrine loja'!$G:$G,'Vitrine loja'!$A:$A,$A17)</f>
        <v/>
      </c>
      <c r="K17" s="141">
        <f>SUMIFS('Busca e Mall'!$G:$G,'Busca e Mall'!$A:$A,$A17)</f>
        <v/>
      </c>
      <c r="L17" s="142">
        <f>SUM(D17:K17)</f>
        <v/>
      </c>
    </row>
    <row r="18">
      <c r="A18" s="138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B18" s="139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C18" s="143" t="inlineStr">
        <is>
          <t>E</t>
        </is>
      </c>
      <c r="D18" s="141">
        <f>SUMIFS('Live afiliada'!$G:$G,'Live afiliada'!$A:$A,$A18)</f>
        <v/>
      </c>
      <c r="E18" s="141">
        <f>SUMIFS('Vídeo afiliada'!$G:$G,'Vídeo afiliada'!$A:$A,$A18)</f>
        <v/>
      </c>
      <c r="F18" s="141">
        <f>SUMIFS('Card afiliada'!$G:$G,'Card afiliada'!$A:$A,$A18)</f>
        <v/>
      </c>
      <c r="G18" s="141">
        <f>SUMIFS('Live loja'!$G:$G,'Live loja'!$A:$A,$A18)</f>
        <v/>
      </c>
      <c r="H18" s="141">
        <f>SUMIFS('Vídeo loja'!$G:$G,'Vídeo loja'!$A:$A,$A18)</f>
        <v/>
      </c>
      <c r="I18" s="141">
        <f>SUMIFS('Card loja'!$G:$G,'Card loja'!$A:$A,$A18)</f>
        <v/>
      </c>
      <c r="J18" s="141">
        <f>SUMIFS('Vitrine loja'!$G:$G,'Vitrine loja'!$A:$A,$A18)</f>
        <v/>
      </c>
      <c r="K18" s="141">
        <f>SUMIFS('Busca e Mall'!$G:$G,'Busca e Mall'!$A:$A,$A18)</f>
        <v/>
      </c>
      <c r="L18" s="142">
        <f>SUM(D18:K18)</f>
        <v/>
      </c>
    </row>
    <row r="19">
      <c r="A19" s="138" t="inlineStr">
        <is>
          <t>Índice de pace: 1,00x = exatamente no ritmo da meta. Abaixo de 1,00x = atrasado. Projeção fim = ritmo atual extrapolado até o dia 31.</t>
        </is>
      </c>
      <c r="B19" s="139" t="inlineStr">
        <is>
          <t>Índice de pace: 1,00x = exatamente no ritmo da meta. Abaixo de 1,00x = atrasado. Projeção fim = ritmo atual extrapolado até o dia 31.</t>
        </is>
      </c>
      <c r="C19" s="143" t="inlineStr">
        <is>
          <t>E</t>
        </is>
      </c>
      <c r="D19" s="141">
        <f>SUMIFS('Live afiliada'!$G:$G,'Live afiliada'!$A:$A,$A19)</f>
        <v/>
      </c>
      <c r="E19" s="141">
        <f>SUMIFS('Vídeo afiliada'!$G:$G,'Vídeo afiliada'!$A:$A,$A19)</f>
        <v/>
      </c>
      <c r="F19" s="141">
        <f>SUMIFS('Card afiliada'!$G:$G,'Card afiliada'!$A:$A,$A19)</f>
        <v/>
      </c>
      <c r="G19" s="141">
        <f>SUMIFS('Live loja'!$G:$G,'Live loja'!$A:$A,$A19)</f>
        <v/>
      </c>
      <c r="H19" s="141">
        <f>SUMIFS('Vídeo loja'!$G:$G,'Vídeo loja'!$A:$A,$A19)</f>
        <v/>
      </c>
      <c r="I19" s="141">
        <f>SUMIFS('Card loja'!$G:$G,'Card loja'!$A:$A,$A19)</f>
        <v/>
      </c>
      <c r="J19" s="141">
        <f>SUMIFS('Vitrine loja'!$G:$G,'Vitrine loja'!$A:$A,$A19)</f>
        <v/>
      </c>
      <c r="K19" s="141">
        <f>SUMIFS('Busca e Mall'!$G:$G,'Busca e Mall'!$A:$A,$A19)</f>
        <v/>
      </c>
      <c r="L19" s="142">
        <f>SUM(D19:K19)</f>
        <v/>
      </c>
    </row>
    <row r="20">
      <c r="A20" s="138" t="inlineStr">
        <is>
          <t>REF559</t>
        </is>
      </c>
      <c r="B20" s="139" t="inlineStr">
        <is>
          <t>Mom Rosa</t>
        </is>
      </c>
      <c r="C20" s="143" t="inlineStr">
        <is>
          <t>E</t>
        </is>
      </c>
      <c r="D20" s="141">
        <f>SUMIFS('Live afiliada'!$G:$G,'Live afiliada'!$A:$A,$A20)</f>
        <v/>
      </c>
      <c r="E20" s="141">
        <f>SUMIFS('Vídeo afiliada'!$G:$G,'Vídeo afiliada'!$A:$A,$A20)</f>
        <v/>
      </c>
      <c r="F20" s="141">
        <f>SUMIFS('Card afiliada'!$G:$G,'Card afiliada'!$A:$A,$A20)</f>
        <v/>
      </c>
      <c r="G20" s="141">
        <f>SUMIFS('Live loja'!$G:$G,'Live loja'!$A:$A,$A20)</f>
        <v/>
      </c>
      <c r="H20" s="141">
        <f>SUMIFS('Vídeo loja'!$G:$G,'Vídeo loja'!$A:$A,$A20)</f>
        <v/>
      </c>
      <c r="I20" s="141">
        <f>SUMIFS('Card loja'!$G:$G,'Card loja'!$A:$A,$A20)</f>
        <v/>
      </c>
      <c r="J20" s="141">
        <f>SUMIFS('Vitrine loja'!$G:$G,'Vitrine loja'!$A:$A,$A20)</f>
        <v/>
      </c>
      <c r="K20" s="141">
        <f>SUMIFS('Busca e Mall'!$G:$G,'Busca e Mall'!$A:$A,$A20)</f>
        <v/>
      </c>
      <c r="L20" s="142">
        <f>SUM(D20:K20)</f>
        <v/>
      </c>
    </row>
    <row r="21">
      <c r="A21" s="138" t="inlineStr">
        <is>
          <t>REF566</t>
        </is>
      </c>
      <c r="B21" s="139" t="inlineStr">
        <is>
          <t>Mom Choco</t>
        </is>
      </c>
      <c r="C21" s="143" t="inlineStr">
        <is>
          <t>E</t>
        </is>
      </c>
      <c r="D21" s="141">
        <f>SUMIFS('Live afiliada'!$G:$G,'Live afiliada'!$A:$A,$A21)</f>
        <v/>
      </c>
      <c r="E21" s="141">
        <f>SUMIFS('Vídeo afiliada'!$G:$G,'Vídeo afiliada'!$A:$A,$A21)</f>
        <v/>
      </c>
      <c r="F21" s="141">
        <f>SUMIFS('Card afiliada'!$G:$G,'Card afiliada'!$A:$A,$A21)</f>
        <v/>
      </c>
      <c r="G21" s="141">
        <f>SUMIFS('Live loja'!$G:$G,'Live loja'!$A:$A,$A21)</f>
        <v/>
      </c>
      <c r="H21" s="141">
        <f>SUMIFS('Vídeo loja'!$G:$G,'Vídeo loja'!$A:$A,$A21)</f>
        <v/>
      </c>
      <c r="I21" s="141">
        <f>SUMIFS('Card loja'!$G:$G,'Card loja'!$A:$A,$A21)</f>
        <v/>
      </c>
      <c r="J21" s="141">
        <f>SUMIFS('Vitrine loja'!$G:$G,'Vitrine loja'!$A:$A,$A21)</f>
        <v/>
      </c>
      <c r="K21" s="141">
        <f>SUMIFS('Busca e Mall'!$G:$G,'Busca e Mall'!$A:$A,$A21)</f>
        <v/>
      </c>
      <c r="L21" s="142">
        <f>SUM(D21:K21)</f>
        <v/>
      </c>
    </row>
    <row r="22">
      <c r="A22" s="138" t="inlineStr">
        <is>
          <t>REF558</t>
        </is>
      </c>
      <c r="B22" s="139" t="inlineStr">
        <is>
          <t>REF558</t>
        </is>
      </c>
      <c r="C22" s="143" t="inlineStr">
        <is>
          <t>E</t>
        </is>
      </c>
      <c r="D22" s="141">
        <f>SUMIFS('Live afiliada'!$G:$G,'Live afiliada'!$A:$A,$A22)</f>
        <v/>
      </c>
      <c r="E22" s="141">
        <f>SUMIFS('Vídeo afiliada'!$G:$G,'Vídeo afiliada'!$A:$A,$A22)</f>
        <v/>
      </c>
      <c r="F22" s="141">
        <f>SUMIFS('Card afiliada'!$G:$G,'Card afiliada'!$A:$A,$A22)</f>
        <v/>
      </c>
      <c r="G22" s="141">
        <f>SUMIFS('Live loja'!$G:$G,'Live loja'!$A:$A,$A22)</f>
        <v/>
      </c>
      <c r="H22" s="141">
        <f>SUMIFS('Vídeo loja'!$G:$G,'Vídeo loja'!$A:$A,$A22)</f>
        <v/>
      </c>
      <c r="I22" s="141">
        <f>SUMIFS('Card loja'!$G:$G,'Card loja'!$A:$A,$A22)</f>
        <v/>
      </c>
      <c r="J22" s="141">
        <f>SUMIFS('Vitrine loja'!$G:$G,'Vitrine loja'!$A:$A,$A22)</f>
        <v/>
      </c>
      <c r="K22" s="141">
        <f>SUMIFS('Busca e Mall'!$G:$G,'Busca e Mall'!$A:$A,$A22)</f>
        <v/>
      </c>
      <c r="L22" s="142">
        <f>SUM(D22:K22)</f>
        <v/>
      </c>
    </row>
    <row r="23">
      <c r="A23" s="138" t="inlineStr">
        <is>
          <t>REF546</t>
        </is>
      </c>
      <c r="B23" s="139" t="inlineStr">
        <is>
          <t>REF546</t>
        </is>
      </c>
      <c r="C23" s="143" t="inlineStr">
        <is>
          <t>E</t>
        </is>
      </c>
      <c r="D23" s="141">
        <f>SUMIFS('Live afiliada'!$G:$G,'Live afiliada'!$A:$A,$A23)</f>
        <v/>
      </c>
      <c r="E23" s="141">
        <f>SUMIFS('Vídeo afiliada'!$G:$G,'Vídeo afiliada'!$A:$A,$A23)</f>
        <v/>
      </c>
      <c r="F23" s="141">
        <f>SUMIFS('Card afiliada'!$G:$G,'Card afiliada'!$A:$A,$A23)</f>
        <v/>
      </c>
      <c r="G23" s="141">
        <f>SUMIFS('Live loja'!$G:$G,'Live loja'!$A:$A,$A23)</f>
        <v/>
      </c>
      <c r="H23" s="141">
        <f>SUMIFS('Vídeo loja'!$G:$G,'Vídeo loja'!$A:$A,$A23)</f>
        <v/>
      </c>
      <c r="I23" s="141">
        <f>SUMIFS('Card loja'!$G:$G,'Card loja'!$A:$A,$A23)</f>
        <v/>
      </c>
      <c r="J23" s="141">
        <f>SUMIFS('Vitrine loja'!$G:$G,'Vitrine loja'!$A:$A,$A23)</f>
        <v/>
      </c>
      <c r="K23" s="141">
        <f>SUMIFS('Busca e Mall'!$G:$G,'Busca e Mall'!$A:$A,$A23)</f>
        <v/>
      </c>
      <c r="L23" s="142">
        <f>SUM(D23:K23)</f>
        <v/>
      </c>
    </row>
    <row r="24">
      <c r="A24" s="138" t="inlineStr">
        <is>
          <t>AGREGADO</t>
        </is>
      </c>
      <c r="B24" s="139" t="inlineStr">
        <is>
          <t>AGREGADO</t>
        </is>
      </c>
      <c r="C24" s="143" t="inlineStr">
        <is>
          <t>E</t>
        </is>
      </c>
      <c r="D24" s="141">
        <f>SUMIFS('Live afiliada'!$G:$G,'Live afiliada'!$A:$A,$A24)</f>
        <v/>
      </c>
      <c r="E24" s="141">
        <f>SUMIFS('Vídeo afiliada'!$G:$G,'Vídeo afiliada'!$A:$A,$A24)</f>
        <v/>
      </c>
      <c r="F24" s="141">
        <f>SUMIFS('Card afiliada'!$G:$G,'Card afiliada'!$A:$A,$A24)</f>
        <v/>
      </c>
      <c r="G24" s="141">
        <f>SUMIFS('Live loja'!$G:$G,'Live loja'!$A:$A,$A24)</f>
        <v/>
      </c>
      <c r="H24" s="141">
        <f>SUMIFS('Vídeo loja'!$G:$G,'Vídeo loja'!$A:$A,$A24)</f>
        <v/>
      </c>
      <c r="I24" s="141">
        <f>SUMIFS('Card loja'!$G:$G,'Card loja'!$A:$A,$A24)</f>
        <v/>
      </c>
      <c r="J24" s="141">
        <f>SUMIFS('Vitrine loja'!$G:$G,'Vitrine loja'!$A:$A,$A24)</f>
        <v/>
      </c>
      <c r="K24" s="141">
        <f>SUMIFS('Busca e Mall'!$G:$G,'Busca e Mall'!$A:$A,$A24)</f>
        <v/>
      </c>
      <c r="L24" s="142">
        <f>SUM(D24:K24)</f>
        <v/>
      </c>
    </row>
    <row r="25">
      <c r="A25" s="138" t="inlineStr">
        <is>
          <t>REF574</t>
        </is>
      </c>
      <c r="B25" s="139" t="inlineStr">
        <is>
          <t>REF574</t>
        </is>
      </c>
      <c r="C25" s="143" t="inlineStr">
        <is>
          <t>E</t>
        </is>
      </c>
      <c r="D25" s="141">
        <f>SUMIFS('Live afiliada'!$G:$G,'Live afiliada'!$A:$A,$A25)</f>
        <v/>
      </c>
      <c r="E25" s="141">
        <f>SUMIFS('Vídeo afiliada'!$G:$G,'Vídeo afiliada'!$A:$A,$A25)</f>
        <v/>
      </c>
      <c r="F25" s="141">
        <f>SUMIFS('Card afiliada'!$G:$G,'Card afiliada'!$A:$A,$A25)</f>
        <v/>
      </c>
      <c r="G25" s="141">
        <f>SUMIFS('Live loja'!$G:$G,'Live loja'!$A:$A,$A25)</f>
        <v/>
      </c>
      <c r="H25" s="141">
        <f>SUMIFS('Vídeo loja'!$G:$G,'Vídeo loja'!$A:$A,$A25)</f>
        <v/>
      </c>
      <c r="I25" s="141">
        <f>SUMIFS('Card loja'!$G:$G,'Card loja'!$A:$A,$A25)</f>
        <v/>
      </c>
      <c r="J25" s="141">
        <f>SUMIFS('Vitrine loja'!$G:$G,'Vitrine loja'!$A:$A,$A25)</f>
        <v/>
      </c>
      <c r="K25" s="141">
        <f>SUMIFS('Busca e Mall'!$G:$G,'Busca e Mall'!$A:$A,$A25)</f>
        <v/>
      </c>
      <c r="L25" s="142">
        <f>SUM(D25:K25)</f>
        <v/>
      </c>
    </row>
    <row r="26">
      <c r="A26" s="138" t="inlineStr">
        <is>
          <t>REF573</t>
        </is>
      </c>
      <c r="B26" s="139" t="inlineStr">
        <is>
          <t>REF573</t>
        </is>
      </c>
      <c r="C26" s="143" t="inlineStr">
        <is>
          <t>E</t>
        </is>
      </c>
      <c r="D26" s="141">
        <f>SUMIFS('Live afiliada'!$G:$G,'Live afiliada'!$A:$A,$A26)</f>
        <v/>
      </c>
      <c r="E26" s="141">
        <f>SUMIFS('Vídeo afiliada'!$G:$G,'Vídeo afiliada'!$A:$A,$A26)</f>
        <v/>
      </c>
      <c r="F26" s="141">
        <f>SUMIFS('Card afiliada'!$G:$G,'Card afiliada'!$A:$A,$A26)</f>
        <v/>
      </c>
      <c r="G26" s="141">
        <f>SUMIFS('Live loja'!$G:$G,'Live loja'!$A:$A,$A26)</f>
        <v/>
      </c>
      <c r="H26" s="141">
        <f>SUMIFS('Vídeo loja'!$G:$G,'Vídeo loja'!$A:$A,$A26)</f>
        <v/>
      </c>
      <c r="I26" s="141">
        <f>SUMIFS('Card loja'!$G:$G,'Card loja'!$A:$A,$A26)</f>
        <v/>
      </c>
      <c r="J26" s="141">
        <f>SUMIFS('Vitrine loja'!$G:$G,'Vitrine loja'!$A:$A,$A26)</f>
        <v/>
      </c>
      <c r="K26" s="141">
        <f>SUMIFS('Busca e Mall'!$G:$G,'Busca e Mall'!$A:$A,$A26)</f>
        <v/>
      </c>
      <c r="L26" s="142">
        <f>SUM(D26:K26)</f>
        <v/>
      </c>
    </row>
    <row r="27">
      <c r="A27" s="138" t="inlineStr">
        <is>
          <t>REF555</t>
        </is>
      </c>
      <c r="B27" s="139" t="inlineStr">
        <is>
          <t>REF555</t>
        </is>
      </c>
      <c r="C27" s="143" t="inlineStr">
        <is>
          <t>E</t>
        </is>
      </c>
      <c r="D27" s="141">
        <f>SUMIFS('Live afiliada'!$G:$G,'Live afiliada'!$A:$A,$A27)</f>
        <v/>
      </c>
      <c r="E27" s="141">
        <f>SUMIFS('Vídeo afiliada'!$G:$G,'Vídeo afiliada'!$A:$A,$A27)</f>
        <v/>
      </c>
      <c r="F27" s="141">
        <f>SUMIFS('Card afiliada'!$G:$G,'Card afiliada'!$A:$A,$A27)</f>
        <v/>
      </c>
      <c r="G27" s="141">
        <f>SUMIFS('Live loja'!$G:$G,'Live loja'!$A:$A,$A27)</f>
        <v/>
      </c>
      <c r="H27" s="141">
        <f>SUMIFS('Vídeo loja'!$G:$G,'Vídeo loja'!$A:$A,$A27)</f>
        <v/>
      </c>
      <c r="I27" s="141">
        <f>SUMIFS('Card loja'!$G:$G,'Card loja'!$A:$A,$A27)</f>
        <v/>
      </c>
      <c r="J27" s="141">
        <f>SUMIFS('Vitrine loja'!$G:$G,'Vitrine loja'!$A:$A,$A27)</f>
        <v/>
      </c>
      <c r="K27" s="141">
        <f>SUMIFS('Busca e Mall'!$G:$G,'Busca e Mall'!$A:$A,$A27)</f>
        <v/>
      </c>
      <c r="L27" s="142">
        <f>SUM(D27:K27)</f>
        <v/>
      </c>
    </row>
    <row r="28">
      <c r="A28" s="138" t="inlineStr">
        <is>
          <t>REF554</t>
        </is>
      </c>
      <c r="B28" s="139" t="inlineStr">
        <is>
          <t>REF554</t>
        </is>
      </c>
      <c r="C28" s="143" t="inlineStr">
        <is>
          <t>E</t>
        </is>
      </c>
      <c r="D28" s="141">
        <f>SUMIFS('Live afiliada'!$G:$G,'Live afiliada'!$A:$A,$A28)</f>
        <v/>
      </c>
      <c r="E28" s="141">
        <f>SUMIFS('Vídeo afiliada'!$G:$G,'Vídeo afiliada'!$A:$A,$A28)</f>
        <v/>
      </c>
      <c r="F28" s="141">
        <f>SUMIFS('Card afiliada'!$G:$G,'Card afiliada'!$A:$A,$A28)</f>
        <v/>
      </c>
      <c r="G28" s="141">
        <f>SUMIFS('Live loja'!$G:$G,'Live loja'!$A:$A,$A28)</f>
        <v/>
      </c>
      <c r="H28" s="141">
        <f>SUMIFS('Vídeo loja'!$G:$G,'Vídeo loja'!$A:$A,$A28)</f>
        <v/>
      </c>
      <c r="I28" s="141">
        <f>SUMIFS('Card loja'!$G:$G,'Card loja'!$A:$A,$A28)</f>
        <v/>
      </c>
      <c r="J28" s="141">
        <f>SUMIFS('Vitrine loja'!$G:$G,'Vitrine loja'!$A:$A,$A28)</f>
        <v/>
      </c>
      <c r="K28" s="141">
        <f>SUMIFS('Busca e Mall'!$G:$G,'Busca e Mall'!$A:$A,$A28)</f>
        <v/>
      </c>
      <c r="L28" s="142">
        <f>SUM(D28:K28)</f>
        <v/>
      </c>
    </row>
    <row r="29">
      <c r="A29" s="138" t="inlineStr">
        <is>
          <t>REF575</t>
        </is>
      </c>
      <c r="B29" s="139" t="inlineStr">
        <is>
          <t>REF575</t>
        </is>
      </c>
      <c r="C29" s="143" t="inlineStr">
        <is>
          <t>E</t>
        </is>
      </c>
      <c r="D29" s="141">
        <f>SUMIFS('Live afiliada'!$G:$G,'Live afiliada'!$A:$A,$A29)</f>
        <v/>
      </c>
      <c r="E29" s="141">
        <f>SUMIFS('Vídeo afiliada'!$G:$G,'Vídeo afiliada'!$A:$A,$A29)</f>
        <v/>
      </c>
      <c r="F29" s="141">
        <f>SUMIFS('Card afiliada'!$G:$G,'Card afiliada'!$A:$A,$A29)</f>
        <v/>
      </c>
      <c r="G29" s="141">
        <f>SUMIFS('Live loja'!$G:$G,'Live loja'!$A:$A,$A29)</f>
        <v/>
      </c>
      <c r="H29" s="141">
        <f>SUMIFS('Vídeo loja'!$G:$G,'Vídeo loja'!$A:$A,$A29)</f>
        <v/>
      </c>
      <c r="I29" s="141">
        <f>SUMIFS('Card loja'!$G:$G,'Card loja'!$A:$A,$A29)</f>
        <v/>
      </c>
      <c r="J29" s="141">
        <f>SUMIFS('Vitrine loja'!$G:$G,'Vitrine loja'!$A:$A,$A29)</f>
        <v/>
      </c>
      <c r="K29" s="141">
        <f>SUMIFS('Busca e Mall'!$G:$G,'Busca e Mall'!$A:$A,$A29)</f>
        <v/>
      </c>
      <c r="L29" s="142">
        <f>SUM(D29:K29)</f>
        <v/>
      </c>
    </row>
    <row r="30">
      <c r="A30" s="138" t="inlineStr">
        <is>
          <t>REF548</t>
        </is>
      </c>
      <c r="B30" s="139" t="inlineStr">
        <is>
          <t>REF548</t>
        </is>
      </c>
      <c r="C30" s="143" t="inlineStr">
        <is>
          <t>E</t>
        </is>
      </c>
      <c r="D30" s="141">
        <f>SUMIFS('Live afiliada'!$G:$G,'Live afiliada'!$A:$A,$A30)</f>
        <v/>
      </c>
      <c r="E30" s="141">
        <f>SUMIFS('Vídeo afiliada'!$G:$G,'Vídeo afiliada'!$A:$A,$A30)</f>
        <v/>
      </c>
      <c r="F30" s="141">
        <f>SUMIFS('Card afiliada'!$G:$G,'Card afiliada'!$A:$A,$A30)</f>
        <v/>
      </c>
      <c r="G30" s="141">
        <f>SUMIFS('Live loja'!$G:$G,'Live loja'!$A:$A,$A30)</f>
        <v/>
      </c>
      <c r="H30" s="141">
        <f>SUMIFS('Vídeo loja'!$G:$G,'Vídeo loja'!$A:$A,$A30)</f>
        <v/>
      </c>
      <c r="I30" s="141">
        <f>SUMIFS('Card loja'!$G:$G,'Card loja'!$A:$A,$A30)</f>
        <v/>
      </c>
      <c r="J30" s="141">
        <f>SUMIFS('Vitrine loja'!$G:$G,'Vitrine loja'!$A:$A,$A30)</f>
        <v/>
      </c>
      <c r="K30" s="141">
        <f>SUMIFS('Busca e Mall'!$G:$G,'Busca e Mall'!$A:$A,$A30)</f>
        <v/>
      </c>
      <c r="L30" s="142">
        <f>SUM(D30:K30)</f>
        <v/>
      </c>
    </row>
    <row r="31">
      <c r="A31" s="138" t="inlineStr">
        <is>
          <t>REF557</t>
        </is>
      </c>
      <c r="B31" s="139" t="inlineStr">
        <is>
          <t>REF557</t>
        </is>
      </c>
      <c r="C31" s="143" t="inlineStr">
        <is>
          <t>E</t>
        </is>
      </c>
      <c r="D31" s="141">
        <f>SUMIFS('Live afiliada'!$G:$G,'Live afiliada'!$A:$A,$A31)</f>
        <v/>
      </c>
      <c r="E31" s="141">
        <f>SUMIFS('Vídeo afiliada'!$G:$G,'Vídeo afiliada'!$A:$A,$A31)</f>
        <v/>
      </c>
      <c r="F31" s="141">
        <f>SUMIFS('Card afiliada'!$G:$G,'Card afiliada'!$A:$A,$A31)</f>
        <v/>
      </c>
      <c r="G31" s="141">
        <f>SUMIFS('Live loja'!$G:$G,'Live loja'!$A:$A,$A31)</f>
        <v/>
      </c>
      <c r="H31" s="141">
        <f>SUMIFS('Vídeo loja'!$G:$G,'Vídeo loja'!$A:$A,$A31)</f>
        <v/>
      </c>
      <c r="I31" s="141">
        <f>SUMIFS('Card loja'!$G:$G,'Card loja'!$A:$A,$A31)</f>
        <v/>
      </c>
      <c r="J31" s="141">
        <f>SUMIFS('Vitrine loja'!$G:$G,'Vitrine loja'!$A:$A,$A31)</f>
        <v/>
      </c>
      <c r="K31" s="141">
        <f>SUMIFS('Busca e Mall'!$G:$G,'Busca e Mall'!$A:$A,$A31)</f>
        <v/>
      </c>
      <c r="L31" s="142">
        <f>SUM(D31:K31)</f>
        <v/>
      </c>
    </row>
    <row r="32">
      <c r="A32" s="138" t="inlineStr">
        <is>
          <t>REF568</t>
        </is>
      </c>
      <c r="B32" s="139" t="inlineStr">
        <is>
          <t>REF568</t>
        </is>
      </c>
      <c r="C32" s="143" t="inlineStr">
        <is>
          <t>E</t>
        </is>
      </c>
      <c r="D32" s="141">
        <f>SUMIFS('Live afiliada'!$G:$G,'Live afiliada'!$A:$A,$A32)</f>
        <v/>
      </c>
      <c r="E32" s="141">
        <f>SUMIFS('Vídeo afiliada'!$G:$G,'Vídeo afiliada'!$A:$A,$A32)</f>
        <v/>
      </c>
      <c r="F32" s="141">
        <f>SUMIFS('Card afiliada'!$G:$G,'Card afiliada'!$A:$A,$A32)</f>
        <v/>
      </c>
      <c r="G32" s="141">
        <f>SUMIFS('Live loja'!$G:$G,'Live loja'!$A:$A,$A32)</f>
        <v/>
      </c>
      <c r="H32" s="141">
        <f>SUMIFS('Vídeo loja'!$G:$G,'Vídeo loja'!$A:$A,$A32)</f>
        <v/>
      </c>
      <c r="I32" s="141">
        <f>SUMIFS('Card loja'!$G:$G,'Card loja'!$A:$A,$A32)</f>
        <v/>
      </c>
      <c r="J32" s="141">
        <f>SUMIFS('Vitrine loja'!$G:$G,'Vitrine loja'!$A:$A,$A32)</f>
        <v/>
      </c>
      <c r="K32" s="141">
        <f>SUMIFS('Busca e Mall'!$G:$G,'Busca e Mall'!$A:$A,$A32)</f>
        <v/>
      </c>
      <c r="L32" s="142">
        <f>SUM(D32:K32)</f>
        <v/>
      </c>
    </row>
    <row r="33">
      <c r="A33" s="138" t="inlineStr">
        <is>
          <t>—</t>
        </is>
      </c>
      <c r="B33" s="139" t="inlineStr">
        <is>
          <t>—</t>
        </is>
      </c>
      <c r="C33" s="143" t="inlineStr">
        <is>
          <t>E</t>
        </is>
      </c>
      <c r="D33" s="141">
        <f>SUMIFS('Live afiliada'!$G:$G,'Live afiliada'!$A:$A,$A33)</f>
        <v/>
      </c>
      <c r="E33" s="141">
        <f>SUMIFS('Vídeo afiliada'!$G:$G,'Vídeo afiliada'!$A:$A,$A33)</f>
        <v/>
      </c>
      <c r="F33" s="141">
        <f>SUMIFS('Card afiliada'!$G:$G,'Card afiliada'!$A:$A,$A33)</f>
        <v/>
      </c>
      <c r="G33" s="141">
        <f>SUMIFS('Live loja'!$G:$G,'Live loja'!$A:$A,$A33)</f>
        <v/>
      </c>
      <c r="H33" s="141">
        <f>SUMIFS('Vídeo loja'!$G:$G,'Vídeo loja'!$A:$A,$A33)</f>
        <v/>
      </c>
      <c r="I33" s="141">
        <f>SUMIFS('Card loja'!$G:$G,'Card loja'!$A:$A,$A33)</f>
        <v/>
      </c>
      <c r="J33" s="141">
        <f>SUMIFS('Vitrine loja'!$G:$G,'Vitrine loja'!$A:$A,$A33)</f>
        <v/>
      </c>
      <c r="K33" s="141">
        <f>SUMIFS('Busca e Mall'!$G:$G,'Busca e Mall'!$A:$A,$A33)</f>
        <v/>
      </c>
      <c r="L33" s="142">
        <f>SUM(D33:K33)</f>
        <v/>
      </c>
    </row>
    <row r="34">
      <c r="A34" s="144" t="inlineStr">
        <is>
          <t>TOTAL CANAL</t>
        </is>
      </c>
      <c r="B34" s="145" t="n"/>
      <c r="C34" s="145" t="n"/>
      <c r="D34" s="146">
        <f>SUM(D5:D33)</f>
        <v/>
      </c>
      <c r="E34" s="146">
        <f>SUM(E5:E33)</f>
        <v/>
      </c>
      <c r="F34" s="146">
        <f>SUM(F5:F33)</f>
        <v/>
      </c>
      <c r="G34" s="146">
        <f>SUM(G5:G33)</f>
        <v/>
      </c>
      <c r="H34" s="146">
        <f>SUM(H5:H33)</f>
        <v/>
      </c>
      <c r="I34" s="146">
        <f>SUM(I5:I33)</f>
        <v/>
      </c>
      <c r="J34" s="146">
        <f>SUM(J5:J33)</f>
        <v/>
      </c>
      <c r="K34" s="146">
        <f>SUM(K5:K33)</f>
        <v/>
      </c>
      <c r="L34" s="147">
        <f>SUM(L5:L33)</f>
        <v/>
      </c>
    </row>
    <row r="36">
      <c r="A36" s="137" t="inlineStr">
        <is>
          <t>Hero=REF516/525/527. Card afiliada=AGREGADO. Vitrine (transversal) e Busca (=0) não somam peças.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2026-08-10T12:21:22Z</dcterms:modified>
  <cp:revision>0</cp:revision>
</cp:coreProperties>
</file>