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Painel" sheetId="2" state="visible" r:id="rId4"/>
    <sheet name="Premissas" sheetId="3" state="visible" r:id="rId5"/>
    <sheet name="Alavancas" sheetId="4" state="visible" r:id="rId6"/>
    <sheet name="Live afiliada" sheetId="5" state="visible" r:id="rId7"/>
    <sheet name="Vídeo afiliada" sheetId="6" state="visible" r:id="rId8"/>
    <sheet name="Card afiliada" sheetId="7" state="visible" r:id="rId9"/>
    <sheet name="Live loja" sheetId="8" state="visible" r:id="rId10"/>
    <sheet name="Vídeo loja" sheetId="9" state="visible" r:id="rId11"/>
    <sheet name="Card loja" sheetId="10" state="visible" r:id="rId12"/>
    <sheet name="Vitrine loja" sheetId="11" state="visible" r:id="rId13"/>
    <sheet name="Busca e Mall" sheetId="12" state="visible" r:id="rId14"/>
    <sheet name="Log diário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<sst xmlns="http://schemas.openxmlformats.org/spreadsheetml/2006/main" count="949" uniqueCount="331">
  <si>
    <t xml:space="preserve">LEIA-ME — fontes, limitações e o que mudou</t>
  </si>
  <si>
    <t xml:space="preserve">O QUE ESTAVA ERRADO NO RELATÓRIO ANTERIOR</t>
  </si>
  <si>
    <t xml:space="preserve">Resumo não fechava com as abas</t>
  </si>
  <si>
    <t xml:space="preserve">O Resumo trazia 6.830 peças de base; a soma das abas dava 6.601. Faltavam 229 peças de SKUs de cauda que as abas cortavam. Corrigido com a linha CAUDA em cada canal.</t>
  </si>
  <si>
    <t xml:space="preserve">Resumo era número morto</t>
  </si>
  <si>
    <t xml:space="preserve">As abas tinham fórmula, o Resumo era valor digitado. Mudar o crescimento não mudava o Resumo. Agora o Painel é 100% link.</t>
  </si>
  <si>
    <t xml:space="preserve">Faltavam canais</t>
  </si>
  <si>
    <t xml:space="preserve">Vitrine da loja, busca/mall e card de afiliada não existiam. Agora existem como abas, com base zero e a fonte a abrir declarada.</t>
  </si>
  <si>
    <t xml:space="preserve">Exato e estimado misturados</t>
  </si>
  <si>
    <t xml:space="preserve">Afiliada vem do extrato (exato). Live loja, vídeo loja e card vêm de split calibrado (estimado). Estavam na mesma tabela sem distinção. Agora tem coluna de confiança.</t>
  </si>
  <si>
    <t xml:space="preserve">Não era pace tracker</t>
  </si>
  <si>
    <t xml:space="preserve">Tinha "% da meta" e "falta", que em dia 3 de 31 não dizem nada. Faltava esperado-até-hoje, índice de pace, projeção de fechamento e peças/dia necessárias. Todos entraram.</t>
  </si>
  <si>
    <t xml:space="preserve">Meta desancorada</t>
  </si>
  <si>
    <t xml:space="preserve">O bottom-up dava 7.978 peças com a meta da empresa em 10.000. O relatório não mostrava esse gap. Agora ele aparece em vermelho no Painel e precisa ser fechado na aba Alavancas.</t>
  </si>
  <si>
    <t xml:space="preserve">Só GMV, nenhuma margem</t>
  </si>
  <si>
    <t xml:space="preserve">A crise é de margem, não de faturamento. Entrou contribuição por peça e contribuição-meta por SKU e por canal.</t>
  </si>
  <si>
    <t xml:space="preserve">Crescimento plano por canal</t>
  </si>
  <si>
    <t xml:space="preserve">Multiplicar todo SKU pelo mesmo percentual ignora a estratégia de portfólio. Entrou a coluna Ajuste (pç) para forçar SKU a SKU.</t>
  </si>
  <si>
    <t xml:space="preserve">Alavanca era rótulo de texto</t>
  </si>
  <si>
    <t xml:space="preserve">Rhode Squad e Copa apareciam como frase no topo da aba. Agora têm driver math na aba Alavancas e precisam somar o gap.</t>
  </si>
  <si>
    <t xml:space="preserve">GMV Max invisível</t>
  </si>
  <si>
    <t xml:space="preserve">58% dos pedidos da loja em julho passam por ele e ele não aparecia. Entrou como sobreposição de mídia, não como canal, para não dobrar contagem.</t>
  </si>
  <si>
    <t xml:space="preserve">FONTE E LIMITAÇÃO DE CADA VARIÁVEL</t>
  </si>
  <si>
    <t xml:space="preserve">Variável</t>
  </si>
  <si>
    <t xml:space="preserve">Fonte</t>
  </si>
  <si>
    <t xml:space="preserve">É medido?</t>
  </si>
  <si>
    <t xml:space="preserve">Limitação</t>
  </si>
  <si>
    <t xml:space="preserve">Base jul — afiliada</t>
  </si>
  <si>
    <t xml:space="preserve">Extrato de afiliada</t>
  </si>
  <si>
    <t xml:space="preserve">MEDIDO</t>
  </si>
  <si>
    <t xml:space="preserve">Inclui concentração extrema em poucas creators.</t>
  </si>
  <si>
    <t xml:space="preserve">Base jul — loja</t>
  </si>
  <si>
    <t xml:space="preserve">Split calibrado sobre export 'Análise de produtos'</t>
  </si>
  <si>
    <t xml:space="preserve">INFERIDO</t>
  </si>
  <si>
    <t xml:space="preserve">É rateio, não leitura direta. A separação live/vídeo/card do lado vendedor é estimativa.</t>
  </si>
  <si>
    <t xml:space="preserve">Cauda por canal</t>
  </si>
  <si>
    <t xml:space="preserve">Delta entre Resumo e abas do arquivo anterior</t>
  </si>
  <si>
    <t xml:space="preserve">DERIVADO</t>
  </si>
  <si>
    <t xml:space="preserve">Sabemos o volume, não os SKUs. Preço usa média ponderada do canal.</t>
  </si>
  <si>
    <t xml:space="preserve">Preço plan.</t>
  </si>
  <si>
    <t xml:space="preserve">Preço médio realizado em julho por SKU × canal</t>
  </si>
  <si>
    <t xml:space="preserve">É preço passado usado como plano. Se houver reajuste em agosto, editar a coluna azul.</t>
  </si>
  <si>
    <t xml:space="preserve">CPV</t>
  </si>
  <si>
    <t xml:space="preserve">Modelo de unit economics travado em jul/2026</t>
  </si>
  <si>
    <t xml:space="preserve">Blended. Não é por SKU. Wide, Mom e Baggy não custam a mesma coisa.</t>
  </si>
  <si>
    <t xml:space="preserve">Fee TikTok Shop</t>
  </si>
  <si>
    <t xml:space="preserve">—</t>
  </si>
  <si>
    <t xml:space="preserve">NÃO PREENCHIDO</t>
  </si>
  <si>
    <t xml:space="preserve">Está em 0%. Contribuição superestimada até preencher.</t>
  </si>
  <si>
    <t xml:space="preserve">Comissão de afiliada</t>
  </si>
  <si>
    <t xml:space="preserve">Está em 0%. Canais de afiliada aparecem com contribuição maior do que a real.</t>
  </si>
  <si>
    <t xml:space="preserve">Devolução / cancelamento</t>
  </si>
  <si>
    <t xml:space="preserve">Está em 0%. Você tem o dado aberto por SKU e tamanho — é a variável que mais muda o resultado.</t>
  </si>
  <si>
    <t xml:space="preserve">Real MTD (peças)</t>
  </si>
  <si>
    <t xml:space="preserve">Aba 'Log diário'</t>
  </si>
  <si>
    <t xml:space="preserve">Hoje é um agregado de 01–03/08 em uma linha só. A partir de amanhã, uma linha por dia.</t>
  </si>
  <si>
    <t xml:space="preserve">Real MTD (R$)</t>
  </si>
  <si>
    <t xml:space="preserve">Peças × preço médio de julho</t>
  </si>
  <si>
    <t xml:space="preserve">ESTIMADO</t>
  </si>
  <si>
    <t xml:space="preserve">GMV não foi medido no MTD. Trocar por GMV real do coletor.</t>
  </si>
  <si>
    <t xml:space="preserve">Esperado MTD</t>
  </si>
  <si>
    <t xml:space="preserve">Meta × dias decorridos ÷ dias do mês</t>
  </si>
  <si>
    <t xml:space="preserve">MODELO</t>
  </si>
  <si>
    <t xml:space="preserve">Pace linear. Ago começa em sábado e domingo, então o índice de hoje está pessimista.</t>
  </si>
  <si>
    <t xml:space="preserve">Projeção fim</t>
  </si>
  <si>
    <t xml:space="preserve">Real MTD ÷ dias decorridos × dias do mês</t>
  </si>
  <si>
    <t xml:space="preserve">Com 3 dias de dado, é ruído. Só ganha confiança a partir do dia 7.</t>
  </si>
  <si>
    <t xml:space="preserve">Peças das alavancas</t>
  </si>
  <si>
    <t xml:space="preserve">Drivers digitados por você</t>
  </si>
  <si>
    <t xml:space="preserve">PREMISSA</t>
  </si>
  <si>
    <t xml:space="preserve">Nenhum desses drivers foi validado contra realizado. É hipótese explícita.</t>
  </si>
  <si>
    <t xml:space="preserve">Inflação de atribuição</t>
  </si>
  <si>
    <t xml:space="preserve">Fatia de afiliada dentro da janela de 1 dia, jul/2026</t>
  </si>
  <si>
    <t xml:space="preserve">MEDIDO (PISO)</t>
  </si>
  <si>
    <t xml:space="preserve">É piso, não teto. O incremental real do GMV Max só sai com holdout.</t>
  </si>
  <si>
    <t xml:space="preserve">ROTINA DIÁRIA — o que fazer todo dia de manhã</t>
  </si>
  <si>
    <t xml:space="preserve">1</t>
  </si>
  <si>
    <t xml:space="preserve">Abrir 'Premissas' e mudar C6 para a data de hoje.</t>
  </si>
  <si>
    <t xml:space="preserve">2</t>
  </si>
  <si>
    <t xml:space="preserve">Anexar as linhas do dia anterior no fim da aba 'Log diário' — Data, Canal, SKU, Peças, GMV.</t>
  </si>
  <si>
    <t xml:space="preserve">3</t>
  </si>
  <si>
    <t xml:space="preserve">Abrir o Painel. Olhar só duas colunas: Índice pace e Gap vs meta.</t>
  </si>
  <si>
    <t xml:space="preserve">4</t>
  </si>
  <si>
    <t xml:space="preserve">Canal abaixo de 0,90x por dois dias seguidos vira ação na aba Alavancas — mexer no driver, não na meta.</t>
  </si>
  <si>
    <t xml:space="preserve">5</t>
  </si>
  <si>
    <t xml:space="preserve">Sexta-feira: revisar Ajuste (pç) por SKU contra estoque e grade antes de deixar a meta rodar mais uma semana.</t>
  </si>
  <si>
    <t xml:space="preserve">PARA O SEU AGENTE — o que ele precisa passar a entregar</t>
  </si>
  <si>
    <t xml:space="preserve">•</t>
  </si>
  <si>
    <t xml:space="preserve">Alimentar só a aba Log diário. Nunca regerar o arquivo inteiro: isso apaga os ajustes por SKU e os drivers das alavancas.</t>
  </si>
  <si>
    <t xml:space="preserve">Nomes de canal têm que bater exatamente com a coluna Canal do log. Qualquer variação quebra o SUMIFS em silêncio.</t>
  </si>
  <si>
    <t xml:space="preserve">Trazer GMV medido por SKU × canal, não peças × preço médio.</t>
  </si>
  <si>
    <t xml:space="preserve">Trazer devolução e cancelamento por SKU no mesmo formato, para alimentar Premissas!C20.</t>
  </si>
  <si>
    <t xml:space="preserve">Abrir a fonte de tráfego do lado vendedor de verdade (vitrine, busca, mall) em vez de ratear por calibração.</t>
  </si>
  <si>
    <t xml:space="preserve">Reconciliar sempre: soma das abas tem que ser igual ao total. Se sobrar cauda, ela vai para a linha CAUDA, não some.</t>
  </si>
  <si>
    <t xml:space="preserve">PAINEL — projeção agosto/2026 por canal, com pace</t>
  </si>
  <si>
    <t xml:space="preserve">Tudo aqui é link para as abas de canal. Não digite nada nesta aba — edite em 'Premissas' ou na aba do canal.</t>
  </si>
  <si>
    <t xml:space="preserve">Atualizado para a data em Premissas!C6</t>
  </si>
  <si>
    <t xml:space="preserve">Canal</t>
  </si>
  <si>
    <t xml:space="preserve">Superfície</t>
  </si>
  <si>
    <t xml:space="preserve">Atribuição</t>
  </si>
  <si>
    <t xml:space="preserve">Confiança da base</t>
  </si>
  <si>
    <t xml:space="preserve">Base jul (pç)</t>
  </si>
  <si>
    <t xml:space="preserve">Meta (pç)</t>
  </si>
  <si>
    <t xml:space="preserve">Meta GMV</t>
  </si>
  <si>
    <t xml:space="preserve">Contrib. meta</t>
  </si>
  <si>
    <t xml:space="preserve">Real MTD (pç)</t>
  </si>
  <si>
    <t xml:space="preserve">Índice pace</t>
  </si>
  <si>
    <t xml:space="preserve">Projeção fim (pç)</t>
  </si>
  <si>
    <t xml:space="preserve">Gap vs meta</t>
  </si>
  <si>
    <t xml:space="preserve">% da meta total</t>
  </si>
  <si>
    <t xml:space="preserve">Live afiliada</t>
  </si>
  <si>
    <t xml:space="preserve">LIVE</t>
  </si>
  <si>
    <t xml:space="preserve">Afiliada</t>
  </si>
  <si>
    <t xml:space="preserve">EXATO — extrato de afiliada</t>
  </si>
  <si>
    <t xml:space="preserve">Vídeo afiliada</t>
  </si>
  <si>
    <t xml:space="preserve">VÍDEO</t>
  </si>
  <si>
    <t xml:space="preserve">Card afiliada</t>
  </si>
  <si>
    <t xml:space="preserve">CARD DE PRODUTO</t>
  </si>
  <si>
    <t xml:space="preserve">SEM DADO — não segmentado no extrato atual</t>
  </si>
  <si>
    <t xml:space="preserve">Live loja</t>
  </si>
  <si>
    <t xml:space="preserve">Loja / vendedor</t>
  </si>
  <si>
    <t xml:space="preserve">ESTIMADO — split calibrado, não medido</t>
  </si>
  <si>
    <t xml:space="preserve">Vídeo loja</t>
  </si>
  <si>
    <t xml:space="preserve">Card loja</t>
  </si>
  <si>
    <t xml:space="preserve">Vitrine loja</t>
  </si>
  <si>
    <t xml:space="preserve">VITRINE DA LOJA</t>
  </si>
  <si>
    <t xml:space="preserve">SEM DADO — canal pedido, ainda não extraído</t>
  </si>
  <si>
    <t xml:space="preserve">Busca e Mall</t>
  </si>
  <si>
    <t xml:space="preserve">BUSCA / MALL / OUTROS</t>
  </si>
  <si>
    <t xml:space="preserve">Misto</t>
  </si>
  <si>
    <t xml:space="preserve">NET</t>
  </si>
  <si>
    <t xml:space="preserve">RECONCILIAÇÃO COM A META DA EMPRESA</t>
  </si>
  <si>
    <t xml:space="preserve">Meta de peças do mês (Premissas)</t>
  </si>
  <si>
    <t xml:space="preserve">Bottom-up: soma das metas por canal</t>
  </si>
  <si>
    <t xml:space="preserve">Gap descoberto</t>
  </si>
  <si>
    <t xml:space="preserve">Projeção pelo ritmo atual</t>
  </si>
  <si>
    <t xml:space="preserve">Peças/dia necessárias para bater a meta da empresa</t>
  </si>
  <si>
    <t xml:space="preserve">Peças/dia no ritmo atual</t>
  </si>
  <si>
    <t xml:space="preserve">RISCOS E TRAVAS QUE A PROJEÇÃO NÃO CAPTURA</t>
  </si>
  <si>
    <t xml:space="preserve">Concentração de creator</t>
  </si>
  <si>
    <t xml:space="preserve">A base de julho da live afiliada carrega 1.111 peças de uma única creator no primeiro mês dela e 824 de outra. Crescer +10% em cima disso assume retenção de duas pessoas. Se uma sai, o canal cai antes de crescer.</t>
  </si>
  <si>
    <t xml:space="preserve">Estoque e grade</t>
  </si>
  <si>
    <t xml:space="preserve">Meta por SKU sem cobertura de estoque é ficção. REF516 com meta somada acima de 2.300 peças precisa de grade completa. Cancelamento por ruptura já é causa conhecida de queda.</t>
  </si>
  <si>
    <t xml:space="preserve">Devolução</t>
  </si>
  <si>
    <t xml:space="preserve">A contribuição por peça está calculada com devolução em 0% porque o dado não está neste arquivo. Você tem devolução aberta por SKU/tamanho — enquanto não entrar em Premissas!C20, toda contribuição aqui é teto, não realidade.</t>
  </si>
  <si>
    <t xml:space="preserve">Atribuição de mídia</t>
  </si>
  <si>
    <t xml:space="preserve">O GMV Max atribui pedidos que já viriam por afiliada e orgânico. O piso medido de inflação é ≥69% em REF516. Ler o ROI de mídia como incremental superestima o canal loja.</t>
  </si>
  <si>
    <t xml:space="preserve">Base = mês de crise</t>
  </si>
  <si>
    <t xml:space="preserve">Julho é o mês da queda. Crescimento percentual sobre um mês ruim entrega uma meta que ainda fica abaixo do patamar de jan–abr.</t>
  </si>
  <si>
    <t xml:space="preserve">PREMISSAS — todas as variáveis editáveis do modelo</t>
  </si>
  <si>
    <t xml:space="preserve">Azul = você edita.  Preto = fórmula.  Verde = vem de outra aba.  Amarelo = premissa crítica não medida, precisa ser confirmada.</t>
  </si>
  <si>
    <t xml:space="preserve">CALENDÁRIO</t>
  </si>
  <si>
    <t xml:space="preserve">Mês de referência</t>
  </si>
  <si>
    <t xml:space="preserve">ago/2026</t>
  </si>
  <si>
    <t xml:space="preserve">Data de hoje (editar todo dia)</t>
  </si>
  <si>
    <t xml:space="preserve">Dias no mês</t>
  </si>
  <si>
    <t xml:space="preserve">Dias decorridos</t>
  </si>
  <si>
    <t xml:space="preserve">Dias restantes</t>
  </si>
  <si>
    <t xml:space="preserve">Fator de pace (linear)</t>
  </si>
  <si>
    <t xml:space="preserve">Pace linear. Ago/2026 começa sáb+dom, então os 3 primeiros dias pesam MENOS que 3/31 — o índice de pace de hoje está pessimista de propósito. Trocar por curva diária quando houver histórico de dia-da-semana.</t>
  </si>
  <si>
    <t xml:space="preserve">META GLOBAL DO MÊS</t>
  </si>
  <si>
    <t xml:space="preserve">Meta de peças (editável)</t>
  </si>
  <si>
    <t xml:space="preserve">Meta declarada da operação.</t>
  </si>
  <si>
    <t xml:space="preserve">Gap a cobrir com alavancas</t>
  </si>
  <si>
    <t xml:space="preserve">Este gap é o número que importa. Enquanto ele for positivo, a meta por canal NÃO fecha a meta da empresa — é preciso alavanca, não crescimento percentual.</t>
  </si>
  <si>
    <t xml:space="preserve">ECONÔMICO POR PEÇA</t>
  </si>
  <si>
    <t xml:space="preserve">CPV médio (R$/peça)</t>
  </si>
  <si>
    <t xml:space="preserve">Fonte: modelo de unit economics travado em jul/2026. É blended, não por SKU.</t>
  </si>
  <si>
    <t xml:space="preserve">Fee TikTok Shop (%)</t>
  </si>
  <si>
    <t xml:space="preserve">NÃO MEDIDO. Preencher com a taxa real da plataforma.</t>
  </si>
  <si>
    <t xml:space="preserve">Devolução + cancelamento (%)</t>
  </si>
  <si>
    <t xml:space="preserve">NÃO MEDIDO aqui. Você tem esse dado aberto por SKU/tamanho — jogar aqui muda toda a contribuição.</t>
  </si>
  <si>
    <t xml:space="preserve">Contribuição/peça =</t>
  </si>
  <si>
    <t xml:space="preserve">preço × (1−fee) × (1−comissão) × (1−devolução) − CPV</t>
  </si>
  <si>
    <t xml:space="preserve">POR CANAL — crescimento e comissão</t>
  </si>
  <si>
    <t xml:space="preserve">Crescimento vs base jul</t>
  </si>
  <si>
    <t xml:space="preserve">Comissão afiliada</t>
  </si>
  <si>
    <t xml:space="preserve">Confiança da base jul</t>
  </si>
  <si>
    <t xml:space="preserve">Comissão de afiliada está zerada porque não foi medida. Sem ela, a contribuição dos canais de afiliada está SUPERESTIMADA.</t>
  </si>
  <si>
    <t xml:space="preserve">SOBREPOSIÇÃO DE MÍDIA (GMV Max) — não é canal</t>
  </si>
  <si>
    <t xml:space="preserve">Budget de mídia planejado (R$/mês)</t>
  </si>
  <si>
    <t xml:space="preserve">ROI alvo</t>
  </si>
  <si>
    <t xml:space="preserve">Receita atribuída esperada</t>
  </si>
  <si>
    <t xml:space="preserve">Inflação de atribuição (piso medido)</t>
  </si>
  <si>
    <t xml:space="preserve">Piso medido em jul/2026 (fatia de afiliada dentro da janela de 1 dia): REF516 ≥69%, REF587 ≥70%, REF588 ≥50%.</t>
  </si>
  <si>
    <t xml:space="preserve">Receita incremental estimada</t>
  </si>
  <si>
    <t xml:space="preserve">GMV Max atribui pedidos que já viriam por live, vídeo e card. Por isso ele NÃO entra como linha de canal no Painel — entraria em cima dos mesmos pedidos e dobraria a contagem. Ele é uma alavanca que empurra os canais existentes. O incremental real só sai com teste de holdout.</t>
  </si>
  <si>
    <t xml:space="preserve">ALAVANCAS — como o gap fecha (driver math, não percentual)</t>
  </si>
  <si>
    <t xml:space="preserve">Cada alavanca é medida em PEÇAS INCREMENTAIS sobre a base de julho. Edite os drivers em azul. O total precisa cobrir o gap do Painel — se não cobrir, a meta da empresa não fecha e isso fica visível aqui.</t>
  </si>
  <si>
    <t xml:space="preserve">Alavanca</t>
  </si>
  <si>
    <t xml:space="preserve">Canal alvo</t>
  </si>
  <si>
    <t xml:space="preserve">Driver 1</t>
  </si>
  <si>
    <t xml:space="preserve">Valor</t>
  </si>
  <si>
    <t xml:space="preserve">Driver 2</t>
  </si>
  <si>
    <t xml:space="preserve">Driver 3</t>
  </si>
  <si>
    <t xml:space="preserve">Peças incrementais</t>
  </si>
  <si>
    <t xml:space="preserve">Responsável</t>
  </si>
  <si>
    <t xml:space="preserve">Como medir</t>
  </si>
  <si>
    <t xml:space="preserve">Rhode Squad</t>
  </si>
  <si>
    <t xml:space="preserve">Creators no squad</t>
  </si>
  <si>
    <t xml:space="preserve">Lives/creator/mês</t>
  </si>
  <si>
    <t xml:space="preserve">Peças/live</t>
  </si>
  <si>
    <t xml:space="preserve">Peças de live atribuídas aos creators do squad no extrato</t>
  </si>
  <si>
    <t xml:space="preserve">Copa Rhode Creators</t>
  </si>
  <si>
    <t xml:space="preserve">Creators postando</t>
  </si>
  <si>
    <t xml:space="preserve">Vídeos/creator/mês</t>
  </si>
  <si>
    <t xml:space="preserve">Peças/vídeo</t>
  </si>
  <si>
    <t xml:space="preserve">Nº de creators com ≥1 peça de vídeo (base jul: 123)</t>
  </si>
  <si>
    <t xml:space="preserve">Desova de seeding</t>
  </si>
  <si>
    <t xml:space="preserve">Amostras enviadas</t>
  </si>
  <si>
    <t xml:space="preserve">Taxa de ativação</t>
  </si>
  <si>
    <t xml:space="preserve">Peças/creator ativado</t>
  </si>
  <si>
    <t xml:space="preserve">Amostras enviadas × creators que postaram em 21 dias</t>
  </si>
  <si>
    <t xml:space="preserve">Lives próprias</t>
  </si>
  <si>
    <t xml:space="preserve">Sessões/mês</t>
  </si>
  <si>
    <t xml:space="preserve">Horas/sessão</t>
  </si>
  <si>
    <t xml:space="preserve">Peças/hora</t>
  </si>
  <si>
    <t xml:space="preserve">Peças da conta da loja em live</t>
  </si>
  <si>
    <t xml:space="preserve">Lançamento tamanho 34</t>
  </si>
  <si>
    <t xml:space="preserve">SKUs com 34</t>
  </si>
  <si>
    <t xml:space="preserve">Demanda perdida/mês</t>
  </si>
  <si>
    <t xml:space="preserve">% recuperada</t>
  </si>
  <si>
    <t xml:space="preserve">Pedidos com falha por grade antes vs depois</t>
  </si>
  <si>
    <t xml:space="preserve">Refresh de criativo GMV Max</t>
  </si>
  <si>
    <t xml:space="preserve">Espalha nos 3</t>
  </si>
  <si>
    <t xml:space="preserve">Budget (R$)</t>
  </si>
  <si>
    <t xml:space="preserve">ROI</t>
  </si>
  <si>
    <t xml:space="preserve">Preço médio</t>
  </si>
  <si>
    <t xml:space="preserve">budget × ROI ÷ preço, já descontada a inflação de atribuição de Premissas!C40. CAC de criativo novo vs pool antigo — validar fora do GMV Max antes</t>
  </si>
  <si>
    <t xml:space="preserve">Vitrine + card organizados</t>
  </si>
  <si>
    <t xml:space="preserve">CVR</t>
  </si>
  <si>
    <t xml:space="preserve">Peças/pedido</t>
  </si>
  <si>
    <t xml:space="preserve">Depende de abrir a fonte no export — hoje não é medido</t>
  </si>
  <si>
    <t xml:space="preserve">GMV Max: peças = budget × ROI ÷ preço. Está aqui como alavanca, não como canal.</t>
  </si>
  <si>
    <t xml:space="preserve">TOTAL INCREMENTAL</t>
  </si>
  <si>
    <t xml:space="preserve">Base julho (todos os canais)</t>
  </si>
  <si>
    <t xml:space="preserve">Base + alavancas</t>
  </si>
  <si>
    <t xml:space="preserve">Meta da empresa</t>
  </si>
  <si>
    <t xml:space="preserve">Sobra / falta</t>
  </si>
  <si>
    <t xml:space="preserve">Cuidado com dupla contagem: a alavanca de GMV Max empurra pedidos que também aparecem em live e vídeo. Se somar tudo cru, a meta infla. Trate o número dela como teto e desconte a inflação de atribuição de Premissas!C40.</t>
  </si>
  <si>
    <t xml:space="preserve">Live afiliada — meta por SKU e pace diário</t>
  </si>
  <si>
    <t xml:space="preserve">Canal (chave):</t>
  </si>
  <si>
    <t xml:space="preserve">Superfície:</t>
  </si>
  <si>
    <t xml:space="preserve">Atribuição:</t>
  </si>
  <si>
    <t xml:space="preserve">Confiança da base jul:</t>
  </si>
  <si>
    <t xml:space="preserve">Alavanca principal:</t>
  </si>
  <si>
    <t xml:space="preserve">Rhode Squad — squad estratégico de creators de live</t>
  </si>
  <si>
    <t xml:space="preserve">Crescimento vs base:</t>
  </si>
  <si>
    <t xml:space="preserve">Comissão afiliada:</t>
  </si>
  <si>
    <t xml:space="preserve">CPV padrão:</t>
  </si>
  <si>
    <t xml:space="preserve">Meta do canal (pç):</t>
  </si>
  <si>
    <t xml:space="preserve">Meta GMV:</t>
  </si>
  <si>
    <t xml:space="preserve">Contribuição meta:</t>
  </si>
  <si>
    <t xml:space="preserve">Índice de pace:</t>
  </si>
  <si>
    <t xml:space="preserve">SKU</t>
  </si>
  <si>
    <t xml:space="preserve">Produto</t>
  </si>
  <si>
    <t xml:space="preserve">Cl</t>
  </si>
  <si>
    <t xml:space="preserve">Mix jul</t>
  </si>
  <si>
    <t xml:space="preserve">Ajuste (pç)</t>
  </si>
  <si>
    <t xml:space="preserve">Contrib./pç</t>
  </si>
  <si>
    <t xml:space="preserve">Pç/dia p/ fechar</t>
  </si>
  <si>
    <t xml:space="preserve">REF516</t>
  </si>
  <si>
    <t xml:space="preserve">Marmorizada</t>
  </si>
  <si>
    <t xml:space="preserve">H</t>
  </si>
  <si>
    <t xml:space="preserve">REF525</t>
  </si>
  <si>
    <t xml:space="preserve">Stone Used</t>
  </si>
  <si>
    <t xml:space="preserve">REF527</t>
  </si>
  <si>
    <t xml:space="preserve">Sky Used</t>
  </si>
  <si>
    <t xml:space="preserve">REF562</t>
  </si>
  <si>
    <t xml:space="preserve">Chocolate</t>
  </si>
  <si>
    <t xml:space="preserve">E</t>
  </si>
  <si>
    <t xml:space="preserve">REF551</t>
  </si>
  <si>
    <t xml:space="preserve">Azul Médio</t>
  </si>
  <si>
    <t xml:space="preserve">REF587</t>
  </si>
  <si>
    <t xml:space="preserve">Baggy Marmorizada</t>
  </si>
  <si>
    <t xml:space="preserve">REF528</t>
  </si>
  <si>
    <t xml:space="preserve">Wide 528</t>
  </si>
  <si>
    <t xml:space="preserve">REF588</t>
  </si>
  <si>
    <t xml:space="preserve">Mom Marmorizada</t>
  </si>
  <si>
    <t xml:space="preserve">REF529</t>
  </si>
  <si>
    <t xml:space="preserve">Wide 529</t>
  </si>
  <si>
    <t xml:space="preserve">REF549</t>
  </si>
  <si>
    <t xml:space="preserve">Rosa Bebê</t>
  </si>
  <si>
    <t xml:space="preserve">REF550</t>
  </si>
  <si>
    <t xml:space="preserve">Amarela</t>
  </si>
  <si>
    <t xml:space="preserve">REF547</t>
  </si>
  <si>
    <t xml:space="preserve">(sem de-para)</t>
  </si>
  <si>
    <t xml:space="preserve">CAUDA</t>
  </si>
  <si>
    <t xml:space="preserve">SKUs de cauda não detalhados</t>
  </si>
  <si>
    <t xml:space="preserve">TOTAL</t>
  </si>
  <si>
    <t xml:space="preserve">Σ Hero</t>
  </si>
  <si>
    <t xml:space="preserve">Σ Esteira</t>
  </si>
  <si>
    <t xml:space="preserve">Ajuste (pç) é a coluna azul onde você força um SKU específico — lançamento do 34, pré-escala do Chocolate, abertura do Baggy. Sem ela, o modelo só escala julho de forma plana, o que contradiz a sua própria estratégia de portfólio.</t>
  </si>
  <si>
    <t xml:space="preserve">Índice de pace: 1,00x = exatamente no ritmo da meta. Abaixo de 1,00x = atrasado. Projeção fim = ritmo atual extrapolado até o dia 31.</t>
  </si>
  <si>
    <t xml:space="preserve">Vídeo afiliada — meta por SKU e pace diário</t>
  </si>
  <si>
    <t xml:space="preserve">Copa Rhode Creators (gamificação) + Academia + desova de seeding</t>
  </si>
  <si>
    <t xml:space="preserve">REF559</t>
  </si>
  <si>
    <t xml:space="preserve">Mom Rosa</t>
  </si>
  <si>
    <t xml:space="preserve">REF566</t>
  </si>
  <si>
    <t xml:space="preserve">Mom Choco</t>
  </si>
  <si>
    <t xml:space="preserve">REF558</t>
  </si>
  <si>
    <t xml:space="preserve">REF546</t>
  </si>
  <si>
    <t xml:space="preserve">Card afiliada — meta por SKU e pace diário</t>
  </si>
  <si>
    <t xml:space="preserve">A definir — depende de abrir a fonte no extrato de afiliada</t>
  </si>
  <si>
    <t xml:space="preserve">Sem base de julho para este canal</t>
  </si>
  <si>
    <t xml:space="preserve">Live loja — meta por SKU e pace diário</t>
  </si>
  <si>
    <t xml:space="preserve">Escalar sessões próprias + restaurar mídia de live</t>
  </si>
  <si>
    <t xml:space="preserve">REF574</t>
  </si>
  <si>
    <t xml:space="preserve">REF573</t>
  </si>
  <si>
    <t xml:space="preserve">REF555</t>
  </si>
  <si>
    <t xml:space="preserve">REF554</t>
  </si>
  <si>
    <t xml:space="preserve">REF575</t>
  </si>
  <si>
    <t xml:space="preserve">REF548</t>
  </si>
  <si>
    <t xml:space="preserve">REF557</t>
  </si>
  <si>
    <t xml:space="preserve">REF568</t>
  </si>
  <si>
    <t xml:space="preserve">Vídeo loja — meta por SKU e pace diário</t>
  </si>
  <si>
    <t xml:space="preserve">Residual — vídeo próprio do seller (quase zero hoje)</t>
  </si>
  <si>
    <t xml:space="preserve">Card loja — meta por SKU e pace diário</t>
  </si>
  <si>
    <t xml:space="preserve">Holdout do card → então reabrir mídia</t>
  </si>
  <si>
    <t xml:space="preserve">Vitrine loja — meta por SKU e pace diário</t>
  </si>
  <si>
    <t xml:space="preserve">A definir — organizar vitrine por curva e coleção</t>
  </si>
  <si>
    <t xml:space="preserve">Busca e Mall — meta por SKU e pace diário</t>
  </si>
  <si>
    <t xml:space="preserve">A definir — SEO de título/atributo de produto</t>
  </si>
  <si>
    <t xml:space="preserve">LOG DIÁRIO — a única aba que o coletor precisa alimentar</t>
  </si>
  <si>
    <t xml:space="preserve">Uma linha por dia × canal × SKU. Cole/anexe no fim. Todas as abas de canal leem daqui por SUMIFS — nada mais precisa ser regerado para o pace atualizar. O nome do canal tem que bater exatamente com a coluna Canal abaixo.</t>
  </si>
  <si>
    <t xml:space="preserve">Data</t>
  </si>
  <si>
    <t xml:space="preserve">Peças</t>
  </si>
  <si>
    <t xml:space="preserve">GMV (R$)</t>
  </si>
  <si>
    <t xml:space="preserve">Origem do dado</t>
  </si>
  <si>
    <t xml:space="preserve">MTD 01–03/08 agregado — GMV ESTIMADO (peças × preço médio jul), não medido</t>
  </si>
  <si>
    <t xml:space="preserve">Delta entre o Resumo antigo e a soma das abas — SKUs de cauda que o relatório anterior perdia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</si>
</sst>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&quot;R$ &quot;#,##0"/>
    <numFmt numFmtId="167" formatCode="0.00\x"/>
    <numFmt numFmtId="168" formatCode="0.0%"/>
    <numFmt numFmtId="169" formatCode="#,##0.0"/>
    <numFmt numFmtId="170" formatCode="dd/mm/yyyy"/>
    <numFmt numFmtId="171" formatCode="&quot;R$ &quot;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5"/>
    <col collapsed="false" customWidth="true" hidden="false" outlineLevel="0" max="3" min="3" style="0" width="18"/>
    <col collapsed="false" customWidth="true" hidden="false" outlineLevel="0" max="4" min="4" style="0" width="7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</row>
    <row r="5" customFormat="false" ht="27.75" hidden="false" customHeight="true" outlineLevel="0" collapsed="false">
      <c r="A5" s="3" t="s">
        <v>4</v>
      </c>
      <c r="B5" s="4" t="s">
        <v>5</v>
      </c>
    </row>
    <row r="6" customFormat="false" ht="27.75" hidden="false" customHeight="true" outlineLevel="0" collapsed="false">
      <c r="A6" s="3" t="s">
        <v>6</v>
      </c>
      <c r="B6" s="4" t="s">
        <v>7</v>
      </c>
    </row>
    <row r="7" customFormat="false" ht="27.75" hidden="false" customHeight="true" outlineLevel="0" collapsed="false">
      <c r="A7" s="3" t="s">
        <v>8</v>
      </c>
      <c r="B7" s="4" t="s">
        <v>9</v>
      </c>
    </row>
    <row r="8" customFormat="false" ht="27.75" hidden="false" customHeight="true" outlineLevel="0" collapsed="false">
      <c r="A8" s="3" t="s">
        <v>10</v>
      </c>
      <c r="B8" s="4" t="s">
        <v>11</v>
      </c>
    </row>
    <row r="9" customFormat="false" ht="27.75" hidden="false" customHeight="true" outlineLevel="0" collapsed="false">
      <c r="A9" s="3" t="s">
        <v>12</v>
      </c>
      <c r="B9" s="4" t="s">
        <v>13</v>
      </c>
    </row>
    <row r="10" customFormat="false" ht="27.75" hidden="false" customHeight="true" outlineLevel="0" collapsed="false">
      <c r="A10" s="3" t="s">
        <v>14</v>
      </c>
      <c r="B10" s="4" t="s">
        <v>15</v>
      </c>
    </row>
    <row r="11" customFormat="false" ht="27.75" hidden="false" customHeight="true" outlineLevel="0" collapsed="false">
      <c r="A11" s="3" t="s">
        <v>16</v>
      </c>
      <c r="B11" s="4" t="s">
        <v>17</v>
      </c>
    </row>
    <row r="12" customFormat="false" ht="27.75" hidden="false" customHeight="true" outlineLevel="0" collapsed="false">
      <c r="A12" s="3" t="s">
        <v>18</v>
      </c>
      <c r="B12" s="4" t="s">
        <v>19</v>
      </c>
    </row>
    <row r="13" customFormat="false" ht="27.75" hidden="false" customHeight="true" outlineLevel="0" collapsed="false">
      <c r="A13" s="3" t="s">
        <v>20</v>
      </c>
      <c r="B13" s="4" t="s">
        <v>21</v>
      </c>
    </row>
    <row r="15" customFormat="false" ht="15" hidden="false" customHeight="false" outlineLevel="0" collapsed="false">
      <c r="A15" s="2" t="s">
        <v>22</v>
      </c>
    </row>
    <row r="16" customFormat="false" ht="15" hidden="false" customHeight="false" outlineLevel="0" collapsed="false">
      <c r="A16" s="5" t="s">
        <v>23</v>
      </c>
      <c r="B16" s="5" t="s">
        <v>24</v>
      </c>
      <c r="C16" s="5" t="s">
        <v>25</v>
      </c>
      <c r="D16" s="5" t="s">
        <v>26</v>
      </c>
    </row>
    <row r="17" customFormat="false" ht="25.5" hidden="false" customHeight="true" outlineLevel="0" collapsed="false">
      <c r="A17" s="6" t="s">
        <v>27</v>
      </c>
      <c r="B17" s="6" t="s">
        <v>28</v>
      </c>
      <c r="C17" s="6" t="s">
        <v>29</v>
      </c>
      <c r="D17" s="6" t="s">
        <v>30</v>
      </c>
    </row>
    <row r="18" customFormat="false" ht="25.5" hidden="false" customHeight="true" outlineLevel="0" collapsed="false">
      <c r="A18" s="6" t="s">
        <v>31</v>
      </c>
      <c r="B18" s="6" t="s">
        <v>32</v>
      </c>
      <c r="C18" s="6" t="s">
        <v>33</v>
      </c>
      <c r="D18" s="6" t="s">
        <v>34</v>
      </c>
    </row>
    <row r="19" customFormat="false" ht="25.5" hidden="false" customHeight="true" outlineLevel="0" collapsed="false">
      <c r="A19" s="6" t="s">
        <v>35</v>
      </c>
      <c r="B19" s="6" t="s">
        <v>36</v>
      </c>
      <c r="C19" s="6" t="s">
        <v>37</v>
      </c>
      <c r="D19" s="6" t="s">
        <v>38</v>
      </c>
    </row>
    <row r="20" customFormat="false" ht="25.5" hidden="false" customHeight="true" outlineLevel="0" collapsed="false">
      <c r="A20" s="6" t="s">
        <v>39</v>
      </c>
      <c r="B20" s="6" t="s">
        <v>40</v>
      </c>
      <c r="C20" s="6" t="s">
        <v>29</v>
      </c>
      <c r="D20" s="6" t="s">
        <v>41</v>
      </c>
    </row>
    <row r="21" customFormat="false" ht="25.5" hidden="false" customHeight="true" outlineLevel="0" collapsed="false">
      <c r="A21" s="6" t="s">
        <v>42</v>
      </c>
      <c r="B21" s="6" t="s">
        <v>43</v>
      </c>
      <c r="C21" s="6" t="s">
        <v>29</v>
      </c>
      <c r="D21" s="6" t="s">
        <v>44</v>
      </c>
    </row>
    <row r="22" customFormat="false" ht="25.5" hidden="false" customHeight="true" outlineLevel="0" collapsed="false">
      <c r="A22" s="6" t="s">
        <v>45</v>
      </c>
      <c r="B22" s="6" t="s">
        <v>46</v>
      </c>
      <c r="C22" s="7" t="s">
        <v>47</v>
      </c>
      <c r="D22" s="6" t="s">
        <v>48</v>
      </c>
    </row>
    <row r="23" customFormat="false" ht="25.5" hidden="false" customHeight="true" outlineLevel="0" collapsed="false">
      <c r="A23" s="6" t="s">
        <v>49</v>
      </c>
      <c r="B23" s="6" t="s">
        <v>46</v>
      </c>
      <c r="C23" s="7" t="s">
        <v>47</v>
      </c>
      <c r="D23" s="6" t="s">
        <v>50</v>
      </c>
    </row>
    <row r="24" customFormat="false" ht="25.5" hidden="false" customHeight="true" outlineLevel="0" collapsed="false">
      <c r="A24" s="6" t="s">
        <v>51</v>
      </c>
      <c r="B24" s="6" t="s">
        <v>46</v>
      </c>
      <c r="C24" s="7" t="s">
        <v>47</v>
      </c>
      <c r="D24" s="6" t="s">
        <v>52</v>
      </c>
    </row>
    <row r="25" customFormat="false" ht="25.5" hidden="false" customHeight="true" outlineLevel="0" collapsed="false">
      <c r="A25" s="6" t="s">
        <v>53</v>
      </c>
      <c r="B25" s="6" t="s">
        <v>54</v>
      </c>
      <c r="C25" s="6" t="s">
        <v>29</v>
      </c>
      <c r="D25" s="6" t="s">
        <v>55</v>
      </c>
    </row>
    <row r="26" customFormat="false" ht="25.5" hidden="false" customHeight="true" outlineLevel="0" collapsed="false">
      <c r="A26" s="6" t="s">
        <v>56</v>
      </c>
      <c r="B26" s="6" t="s">
        <v>57</v>
      </c>
      <c r="C26" s="6" t="s">
        <v>58</v>
      </c>
      <c r="D26" s="6" t="s">
        <v>59</v>
      </c>
    </row>
    <row r="27" customFormat="false" ht="25.5" hidden="false" customHeight="true" outlineLevel="0" collapsed="false">
      <c r="A27" s="6" t="s">
        <v>60</v>
      </c>
      <c r="B27" s="6" t="s">
        <v>61</v>
      </c>
      <c r="C27" s="6" t="s">
        <v>62</v>
      </c>
      <c r="D27" s="6" t="s">
        <v>63</v>
      </c>
    </row>
    <row r="28" customFormat="false" ht="25.5" hidden="false" customHeight="true" outlineLevel="0" collapsed="false">
      <c r="A28" s="6" t="s">
        <v>64</v>
      </c>
      <c r="B28" s="6" t="s">
        <v>65</v>
      </c>
      <c r="C28" s="6" t="s">
        <v>62</v>
      </c>
      <c r="D28" s="6" t="s">
        <v>66</v>
      </c>
    </row>
    <row r="29" customFormat="false" ht="25.5" hidden="false" customHeight="true" outlineLevel="0" collapsed="false">
      <c r="A29" s="6" t="s">
        <v>67</v>
      </c>
      <c r="B29" s="6" t="s">
        <v>68</v>
      </c>
      <c r="C29" s="6" t="s">
        <v>69</v>
      </c>
      <c r="D29" s="6" t="s">
        <v>70</v>
      </c>
    </row>
    <row r="30" customFormat="false" ht="25.5" hidden="false" customHeight="true" outlineLevel="0" collapsed="false">
      <c r="A30" s="6" t="s">
        <v>71</v>
      </c>
      <c r="B30" s="6" t="s">
        <v>72</v>
      </c>
      <c r="C30" s="6" t="s">
        <v>73</v>
      </c>
      <c r="D30" s="6" t="s">
        <v>74</v>
      </c>
    </row>
    <row r="32" customFormat="false" ht="15" hidden="false" customHeight="false" outlineLevel="0" collapsed="false">
      <c r="A32" s="2" t="s">
        <v>75</v>
      </c>
    </row>
    <row r="33" customFormat="false" ht="15" hidden="false" customHeight="false" outlineLevel="0" collapsed="false">
      <c r="A33" s="3" t="s">
        <v>76</v>
      </c>
      <c r="B33" s="8" t="s">
        <v>77</v>
      </c>
    </row>
    <row r="34" customFormat="false" ht="15" hidden="false" customHeight="false" outlineLevel="0" collapsed="false">
      <c r="A34" s="3" t="s">
        <v>78</v>
      </c>
      <c r="B34" s="8" t="s">
        <v>79</v>
      </c>
    </row>
    <row r="35" customFormat="false" ht="15" hidden="false" customHeight="false" outlineLevel="0" collapsed="false">
      <c r="A35" s="3" t="s">
        <v>80</v>
      </c>
      <c r="B35" s="8" t="s">
        <v>81</v>
      </c>
    </row>
    <row r="36" customFormat="false" ht="15" hidden="false" customHeight="false" outlineLevel="0" collapsed="false">
      <c r="A36" s="3" t="s">
        <v>82</v>
      </c>
      <c r="B36" s="8" t="s">
        <v>83</v>
      </c>
    </row>
    <row r="37" customFormat="false" ht="15" hidden="false" customHeight="false" outlineLevel="0" collapsed="false">
      <c r="A37" s="3" t="s">
        <v>84</v>
      </c>
      <c r="B37" s="8" t="s">
        <v>85</v>
      </c>
    </row>
    <row r="39" customFormat="false" ht="15" hidden="false" customHeight="false" outlineLevel="0" collapsed="false">
      <c r="A39" s="2" t="s">
        <v>86</v>
      </c>
    </row>
    <row r="40" customFormat="false" ht="15" hidden="false" customHeight="false" outlineLevel="0" collapsed="false">
      <c r="A40" s="0" t="s">
        <v>87</v>
      </c>
      <c r="B40" s="0" t="s">
        <v>88</v>
      </c>
    </row>
    <row r="41" customFormat="false" ht="15" hidden="false" customHeight="false" outlineLevel="0" collapsed="false">
      <c r="A41" s="0" t="s">
        <v>87</v>
      </c>
      <c r="B41" s="0" t="s">
        <v>89</v>
      </c>
    </row>
    <row r="42" customFormat="false" ht="15" hidden="false" customHeight="false" outlineLevel="0" collapsed="false">
      <c r="A42" s="0" t="s">
        <v>87</v>
      </c>
      <c r="B42" s="0" t="s">
        <v>90</v>
      </c>
    </row>
    <row r="43" customFormat="false" ht="15" hidden="false" customHeight="false" outlineLevel="0" collapsed="false">
      <c r="A43" s="0" t="s">
        <v>87</v>
      </c>
      <c r="B43" s="0" t="s">
        <v>91</v>
      </c>
    </row>
    <row r="44" customFormat="false" ht="15" hidden="false" customHeight="false" outlineLevel="0" collapsed="false">
      <c r="A44" s="0" t="s">
        <v>87</v>
      </c>
      <c r="B44" s="0" t="s">
        <v>92</v>
      </c>
    </row>
    <row r="45" customFormat="false" ht="15" hidden="false" customHeight="false" outlineLevel="0" collapsed="false">
      <c r="A45" s="0" t="s">
        <v>87</v>
      </c>
      <c r="B45" s="0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8" min="7" style="0" width="14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3"/>
  </cols>
  <sheetData>
    <row r="1" customFormat="false" ht="16.15" hidden="false" customHeight="false" outlineLevel="0" collapsed="false">
      <c r="A1" s="1" t="s">
        <v>94</v>
      </c>
    </row>
    <row r="2" customFormat="false" ht="15" hidden="false" customHeight="false" outlineLevel="0" collapsed="false">
      <c r="A2" s="9" t="s">
        <v>95</v>
      </c>
    </row>
    <row r="3" customFormat="false" ht="15" hidden="false" customHeight="false" outlineLevel="0" collapsed="false">
      <c r="A3" s="9" t="s">
        <v>96</v>
      </c>
    </row>
    <row r="5" customFormat="false" ht="30" hidden="false" customHeight="true" outlineLevel="0" collapsed="false">
      <c r="A5" s="10" t="s">
        <v>97</v>
      </c>
      <c r="B5" s="10" t="s">
        <v>98</v>
      </c>
      <c r="C5" s="10" t="s">
        <v>99</v>
      </c>
      <c r="D5" s="10" t="s">
        <v>100</v>
      </c>
      <c r="E5" s="10" t="s">
        <v>101</v>
      </c>
      <c r="F5" s="10" t="s">
        <v>102</v>
      </c>
      <c r="G5" s="10" t="s">
        <v>103</v>
      </c>
      <c r="H5" s="10" t="s">
        <v>104</v>
      </c>
      <c r="I5" s="10" t="s">
        <v>105</v>
      </c>
      <c r="J5" s="10" t="s">
        <v>60</v>
      </c>
      <c r="K5" s="10" t="s">
        <v>106</v>
      </c>
      <c r="L5" s="10" t="s">
        <v>107</v>
      </c>
      <c r="M5" s="10" t="s">
        <v>108</v>
      </c>
      <c r="N5" s="10" t="s">
        <v>109</v>
      </c>
    </row>
    <row r="6" customFormat="false" ht="15" hidden="false" customHeight="false" outlineLevel="0" collapsed="false">
      <c r="A6" s="11" t="s">
        <v>110</v>
      </c>
      <c r="B6" s="12" t="s">
        <v>111</v>
      </c>
      <c r="C6" s="12" t="s">
        <v>112</v>
      </c>
      <c r="D6" s="12" t="s">
        <v>113</v>
      </c>
      <c r="E6" s="13" t="n">
        <f aca="false">'Live afiliada'!D21</f>
        <v>2705</v>
      </c>
      <c r="F6" s="13" t="n">
        <f aca="false">'Live afiliada'!G21</f>
        <v>2977</v>
      </c>
      <c r="G6" s="14" t="n">
        <f aca="false">'Live afiliada'!I21</f>
        <v>222091.73</v>
      </c>
      <c r="H6" s="14" t="n">
        <f aca="false">'Live afiliada'!L21</f>
        <v>90210.63</v>
      </c>
      <c r="I6" s="13" t="n">
        <f aca="false">'Live afiliada'!M21</f>
        <v>219</v>
      </c>
      <c r="J6" s="13" t="n">
        <f aca="false">'Live afiliada'!O21</f>
        <v>288.096774193548</v>
      </c>
      <c r="K6" s="15" t="n">
        <f aca="false">IFERROR(I6/J6,0)</f>
        <v>0.760161236143769</v>
      </c>
      <c r="L6" s="13" t="n">
        <f aca="false">'Live afiliada'!Q21</f>
        <v>2263</v>
      </c>
      <c r="M6" s="16" t="n">
        <f aca="false">L6-F6</f>
        <v>-714</v>
      </c>
      <c r="N6" s="17" t="n">
        <f aca="false">IFERROR(F6/$F$16,0)</f>
        <v>0</v>
      </c>
    </row>
    <row r="7" customFormat="false" ht="15" hidden="false" customHeight="false" outlineLevel="0" collapsed="false">
      <c r="A7" s="11" t="s">
        <v>114</v>
      </c>
      <c r="B7" s="12" t="s">
        <v>115</v>
      </c>
      <c r="C7" s="12" t="s">
        <v>112</v>
      </c>
      <c r="D7" s="12" t="s">
        <v>113</v>
      </c>
      <c r="E7" s="13" t="n">
        <f aca="false">'Vídeo afiliada'!D23</f>
        <v>1475</v>
      </c>
      <c r="F7" s="13" t="n">
        <f aca="false">'Vídeo afiliada'!G23</f>
        <v>1920</v>
      </c>
      <c r="G7" s="14" t="n">
        <f aca="false">'Vídeo afiliada'!I23</f>
        <v>180786.1</v>
      </c>
      <c r="H7" s="14" t="n">
        <f aca="false">'Vídeo afiliada'!L23</f>
        <v>95730.1</v>
      </c>
      <c r="I7" s="13" t="n">
        <f aca="false">'Vídeo afiliada'!M23</f>
        <v>14</v>
      </c>
      <c r="J7" s="13" t="n">
        <f aca="false">'Vídeo afiliada'!O23</f>
        <v>185.806451612903</v>
      </c>
      <c r="K7" s="15" t="n">
        <f aca="false">IFERROR(I7/J7,0)</f>
        <v>0.0753472222222222</v>
      </c>
      <c r="L7" s="13" t="n">
        <f aca="false">'Vídeo afiliada'!Q23</f>
        <v>144.666666666667</v>
      </c>
      <c r="M7" s="16" t="n">
        <f aca="false">L7-F7</f>
        <v>-1775.33333333333</v>
      </c>
      <c r="N7" s="17" t="n">
        <f aca="false">IFERROR(F7/$F$16,0)</f>
        <v>0</v>
      </c>
    </row>
    <row r="8" customFormat="false" ht="15" hidden="false" customHeight="false" outlineLevel="0" collapsed="false">
      <c r="A8" s="11" t="s">
        <v>116</v>
      </c>
      <c r="B8" s="12" t="s">
        <v>117</v>
      </c>
      <c r="C8" s="12" t="s">
        <v>112</v>
      </c>
      <c r="D8" s="18" t="s">
        <v>118</v>
      </c>
      <c r="E8" s="13" t="n">
        <f aca="false">'Card afiliada'!D9</f>
        <v>0</v>
      </c>
      <c r="F8" s="13" t="n">
        <f aca="false">'Card afiliada'!G9</f>
        <v>0</v>
      </c>
      <c r="G8" s="14" t="n">
        <f aca="false">'Card afiliada'!I9</f>
        <v>0</v>
      </c>
      <c r="H8" s="14" t="n">
        <f aca="false">'Card afiliada'!L9</f>
        <v>0</v>
      </c>
      <c r="I8" s="13" t="n">
        <f aca="false">'Card afiliada'!M9</f>
        <v>0</v>
      </c>
      <c r="J8" s="13" t="n">
        <f aca="false">'Card afiliada'!O9</f>
        <v>0</v>
      </c>
      <c r="K8" s="15" t="n">
        <f aca="false">IFERROR(I8/J8,0)</f>
        <v>0</v>
      </c>
      <c r="L8" s="13" t="n">
        <f aca="false">'Card afiliada'!Q9</f>
        <v>0</v>
      </c>
      <c r="M8" s="16" t="n">
        <f aca="false">L8-F8</f>
        <v>0</v>
      </c>
      <c r="N8" s="17" t="n">
        <f aca="false">IFERROR(F8/$F$16,0)</f>
        <v>0</v>
      </c>
    </row>
    <row r="9" customFormat="false" ht="15" hidden="false" customHeight="false" outlineLevel="0" collapsed="false">
      <c r="A9" s="11" t="s">
        <v>119</v>
      </c>
      <c r="B9" s="12" t="s">
        <v>111</v>
      </c>
      <c r="C9" s="12" t="s">
        <v>120</v>
      </c>
      <c r="D9" s="18" t="s">
        <v>121</v>
      </c>
      <c r="E9" s="13" t="n">
        <f aca="false">'Live loja'!D31</f>
        <v>2331</v>
      </c>
      <c r="F9" s="13" t="n">
        <f aca="false">'Live loja'!G31</f>
        <v>2683</v>
      </c>
      <c r="G9" s="14" t="n">
        <f aca="false">'Live loja'!I31</f>
        <v>204839.18</v>
      </c>
      <c r="H9" s="14" t="n">
        <f aca="false">'Live loja'!L31</f>
        <v>85982.28</v>
      </c>
      <c r="I9" s="13" t="n">
        <f aca="false">'Live loja'!M31</f>
        <v>61</v>
      </c>
      <c r="J9" s="13" t="n">
        <f aca="false">'Live loja'!O31</f>
        <v>259.645161290323</v>
      </c>
      <c r="K9" s="15" t="n">
        <f aca="false">IFERROR(I9/J9,0)</f>
        <v>0.234936016896509</v>
      </c>
      <c r="L9" s="13" t="n">
        <f aca="false">'Live loja'!Q31</f>
        <v>630.333333333333</v>
      </c>
      <c r="M9" s="16" t="n">
        <f aca="false">L9-F9</f>
        <v>-2052.66666666667</v>
      </c>
      <c r="N9" s="17" t="n">
        <f aca="false">IFERROR(F9/$F$16,0)</f>
        <v>0</v>
      </c>
    </row>
    <row r="10" customFormat="false" ht="15" hidden="false" customHeight="false" outlineLevel="0" collapsed="false">
      <c r="A10" s="11" t="s">
        <v>122</v>
      </c>
      <c r="B10" s="12" t="s">
        <v>115</v>
      </c>
      <c r="C10" s="12" t="s">
        <v>120</v>
      </c>
      <c r="D10" s="18" t="s">
        <v>121</v>
      </c>
      <c r="E10" s="13" t="n">
        <f aca="false">'Vídeo loja'!D11</f>
        <v>67</v>
      </c>
      <c r="F10" s="13" t="n">
        <f aca="false">'Vídeo loja'!G11</f>
        <v>101</v>
      </c>
      <c r="G10" s="14" t="n">
        <f aca="false">'Vídeo loja'!I11</f>
        <v>7389.26</v>
      </c>
      <c r="H10" s="14" t="n">
        <f aca="false">'Vídeo loja'!L11</f>
        <v>2914.96</v>
      </c>
      <c r="I10" s="13" t="n">
        <f aca="false">'Vídeo loja'!M11</f>
        <v>2</v>
      </c>
      <c r="J10" s="13" t="n">
        <f aca="false">'Vídeo loja'!O11</f>
        <v>9.7741935483871</v>
      </c>
      <c r="K10" s="15" t="n">
        <f aca="false">IFERROR(I10/J10,0)</f>
        <v>0.204620462046205</v>
      </c>
      <c r="L10" s="13" t="n">
        <f aca="false">'Vídeo loja'!Q11</f>
        <v>20.6666666666667</v>
      </c>
      <c r="M10" s="16" t="n">
        <f aca="false">L10-F10</f>
        <v>-80.3333333333333</v>
      </c>
      <c r="N10" s="17" t="n">
        <f aca="false">IFERROR(F10/$F$16,0)</f>
        <v>0</v>
      </c>
    </row>
    <row r="11" customFormat="false" ht="15" hidden="false" customHeight="false" outlineLevel="0" collapsed="false">
      <c r="A11" s="11" t="s">
        <v>123</v>
      </c>
      <c r="B11" s="12" t="s">
        <v>117</v>
      </c>
      <c r="C11" s="12" t="s">
        <v>120</v>
      </c>
      <c r="D11" s="18" t="s">
        <v>121</v>
      </c>
      <c r="E11" s="13" t="n">
        <f aca="false">'Card loja'!D16</f>
        <v>252</v>
      </c>
      <c r="F11" s="13" t="n">
        <f aca="false">'Card loja'!G16</f>
        <v>302</v>
      </c>
      <c r="G11" s="14" t="n">
        <f aca="false">'Card loja'!I16</f>
        <v>22965.6</v>
      </c>
      <c r="H11" s="14" t="n">
        <f aca="false">'Card loja'!L16</f>
        <v>9587</v>
      </c>
      <c r="I11" s="13" t="n">
        <f aca="false">'Card loja'!M16</f>
        <v>7</v>
      </c>
      <c r="J11" s="13" t="n">
        <f aca="false">'Card loja'!O16</f>
        <v>29.2258064516129</v>
      </c>
      <c r="K11" s="15" t="n">
        <f aca="false">IFERROR(I11/J11,0)</f>
        <v>0.239514348785872</v>
      </c>
      <c r="L11" s="13" t="n">
        <f aca="false">'Card loja'!Q16</f>
        <v>72.3333333333333</v>
      </c>
      <c r="M11" s="16" t="n">
        <f aca="false">L11-F11</f>
        <v>-229.666666666667</v>
      </c>
      <c r="N11" s="17" t="n">
        <f aca="false">IFERROR(F11/$F$16,0)</f>
        <v>0</v>
      </c>
    </row>
    <row r="12" customFormat="false" ht="15" hidden="false" customHeight="false" outlineLevel="0" collapsed="false">
      <c r="A12" s="11" t="s">
        <v>124</v>
      </c>
      <c r="B12" s="12" t="s">
        <v>125</v>
      </c>
      <c r="C12" s="12" t="s">
        <v>120</v>
      </c>
      <c r="D12" s="18" t="s">
        <v>126</v>
      </c>
      <c r="E12" s="13" t="n">
        <f aca="false">'Vitrine loja'!D9</f>
        <v>0</v>
      </c>
      <c r="F12" s="13" t="n">
        <f aca="false">'Vitrine loja'!G9</f>
        <v>0</v>
      </c>
      <c r="G12" s="14" t="n">
        <f aca="false">'Vitrine loja'!I9</f>
        <v>0</v>
      </c>
      <c r="H12" s="14" t="n">
        <f aca="false">'Vitrine loja'!L9</f>
        <v>0</v>
      </c>
      <c r="I12" s="13" t="n">
        <f aca="false">'Vitrine loja'!M9</f>
        <v>0</v>
      </c>
      <c r="J12" s="13" t="n">
        <f aca="false">'Vitrine loja'!O9</f>
        <v>0</v>
      </c>
      <c r="K12" s="15" t="n">
        <f aca="false">IFERROR(I12/J12,0)</f>
        <v>0</v>
      </c>
      <c r="L12" s="13" t="n">
        <f aca="false">'Vitrine loja'!Q9</f>
        <v>0</v>
      </c>
      <c r="M12" s="16" t="n">
        <f aca="false">L12-F12</f>
        <v>0</v>
      </c>
      <c r="N12" s="17" t="n">
        <f aca="false">IFERROR(F12/$F$16,0)</f>
        <v>0</v>
      </c>
    </row>
    <row r="13" customFormat="false" ht="15" hidden="false" customHeight="false" outlineLevel="0" collapsed="false">
      <c r="A13" s="11" t="s">
        <v>127</v>
      </c>
      <c r="B13" s="12" t="s">
        <v>128</v>
      </c>
      <c r="C13" s="12" t="s">
        <v>129</v>
      </c>
      <c r="D13" s="18" t="s">
        <v>126</v>
      </c>
      <c r="E13" s="13" t="n">
        <f aca="false">'Busca e Mall'!D9</f>
        <v>0</v>
      </c>
      <c r="F13" s="13" t="n">
        <f aca="false">'Busca e Mall'!G9</f>
        <v>0</v>
      </c>
      <c r="G13" s="14" t="n">
        <f aca="false">'Busca e Mall'!I9</f>
        <v>0</v>
      </c>
      <c r="H13" s="14" t="n">
        <f aca="false">'Busca e Mall'!L9</f>
        <v>0</v>
      </c>
      <c r="I13" s="13" t="n">
        <f aca="false">'Busca e Mall'!M9</f>
        <v>0</v>
      </c>
      <c r="J13" s="13" t="n">
        <f aca="false">'Busca e Mall'!O9</f>
        <v>0</v>
      </c>
      <c r="K13" s="15" t="n">
        <f aca="false">IFERROR(I13/J13,0)</f>
        <v>0</v>
      </c>
      <c r="L13" s="13" t="n">
        <f aca="false">'Busca e Mall'!Q9</f>
        <v>0</v>
      </c>
      <c r="M13" s="16" t="n">
        <f aca="false">L13-F13</f>
        <v>0</v>
      </c>
      <c r="N13" s="17" t="n">
        <f aca="false">IFERROR(F13/$F$16,0)</f>
        <v>0</v>
      </c>
    </row>
    <row r="14" customFormat="false" ht="15" hidden="false" customHeight="false" outlineLevel="0" collapsed="false">
      <c r="A14" s="19" t="s">
        <v>130</v>
      </c>
      <c r="B14" s="19"/>
      <c r="C14" s="19"/>
      <c r="D14" s="19"/>
      <c r="E14" s="20" t="n">
        <f aca="false">SUM(E6:E13)</f>
        <v>6830</v>
      </c>
      <c r="F14" s="20" t="n">
        <f aca="false">SUM(F6:F13)</f>
        <v>7983</v>
      </c>
      <c r="G14" s="21" t="n">
        <f aca="false">SUM(G6:G13)</f>
        <v>638071.87</v>
      </c>
      <c r="H14" s="21" t="n">
        <f aca="false">SUM(H6:H13)</f>
        <v>284424.97</v>
      </c>
      <c r="I14" s="20" t="n">
        <f aca="false">SUM(I6:I13)</f>
        <v>303</v>
      </c>
      <c r="J14" s="20" t="n">
        <f aca="false">SUM(J6:J13)</f>
        <v>772.548387096774</v>
      </c>
      <c r="K14" s="22" t="n">
        <f aca="false">IFERROR(I14/J14,0)</f>
        <v>0.39220844294125</v>
      </c>
      <c r="L14" s="20" t="n">
        <f aca="false">SUM(L6:L13)</f>
        <v>3131</v>
      </c>
      <c r="M14" s="20" t="n">
        <f aca="false">SUM(M6:M13)</f>
        <v>-4852</v>
      </c>
      <c r="N14" s="23" t="n">
        <v>1</v>
      </c>
    </row>
    <row r="16" customFormat="false" ht="15" hidden="false" customHeight="false" outlineLevel="0" collapsed="false">
      <c r="A16" s="2" t="s">
        <v>131</v>
      </c>
    </row>
    <row r="17" customFormat="false" ht="15" hidden="false" customHeight="false" outlineLevel="0" collapsed="false">
      <c r="A17" s="24" t="s">
        <v>132</v>
      </c>
      <c r="B17" s="16" t="n">
        <f aca="false">Premissas!$C$13</f>
        <v>10000</v>
      </c>
    </row>
    <row r="18" customFormat="false" ht="15" hidden="false" customHeight="false" outlineLevel="0" collapsed="false">
      <c r="A18" s="24" t="s">
        <v>133</v>
      </c>
      <c r="B18" s="16" t="n">
        <f aca="false">F14</f>
        <v>7983</v>
      </c>
    </row>
    <row r="19" customFormat="false" ht="15" hidden="false" customHeight="false" outlineLevel="0" collapsed="false">
      <c r="A19" s="11" t="s">
        <v>134</v>
      </c>
      <c r="B19" s="25" t="n">
        <f aca="false">B17-B18</f>
        <v>2017</v>
      </c>
    </row>
    <row r="20" customFormat="false" ht="15" hidden="false" customHeight="false" outlineLevel="0" collapsed="false">
      <c r="A20" s="24" t="s">
        <v>135</v>
      </c>
      <c r="B20" s="16" t="n">
        <f aca="false">L14</f>
        <v>3131</v>
      </c>
    </row>
    <row r="21" customFormat="false" ht="15" hidden="false" customHeight="false" outlineLevel="0" collapsed="false">
      <c r="A21" s="24" t="s">
        <v>136</v>
      </c>
      <c r="B21" s="26" t="n">
        <f aca="false">IFERROR(MAX(0,B17-I14)/Premissas!$C$9,0)</f>
        <v>346.321428571429</v>
      </c>
    </row>
    <row r="22" customFormat="false" ht="15" hidden="false" customHeight="false" outlineLevel="0" collapsed="false">
      <c r="A22" s="24" t="s">
        <v>137</v>
      </c>
      <c r="B22" s="26" t="n">
        <f aca="false">IFERROR(I14/Premissas!$C$8,0)</f>
        <v>101</v>
      </c>
    </row>
    <row r="24" customFormat="false" ht="15" hidden="false" customHeight="false" outlineLevel="0" collapsed="false">
      <c r="A24" s="2" t="s">
        <v>138</v>
      </c>
    </row>
    <row r="25" customFormat="false" ht="15" hidden="false" customHeight="false" outlineLevel="0" collapsed="false">
      <c r="A25" s="11" t="s">
        <v>139</v>
      </c>
      <c r="B25" s="9" t="s">
        <v>140</v>
      </c>
    </row>
    <row r="26" customFormat="false" ht="15" hidden="false" customHeight="false" outlineLevel="0" collapsed="false">
      <c r="A26" s="11" t="s">
        <v>141</v>
      </c>
      <c r="B26" s="9" t="s">
        <v>142</v>
      </c>
    </row>
    <row r="27" customFormat="false" ht="15" hidden="false" customHeight="false" outlineLevel="0" collapsed="false">
      <c r="A27" s="11" t="s">
        <v>143</v>
      </c>
      <c r="B27" s="9" t="s">
        <v>144</v>
      </c>
    </row>
    <row r="28" customFormat="false" ht="15" hidden="false" customHeight="false" outlineLevel="0" collapsed="false">
      <c r="A28" s="11" t="s">
        <v>145</v>
      </c>
      <c r="B28" s="9" t="s">
        <v>146</v>
      </c>
    </row>
    <row r="29" customFormat="false" ht="15" hidden="false" customHeight="false" outlineLevel="0" collapsed="false">
      <c r="A29" s="11" t="s">
        <v>147</v>
      </c>
      <c r="B29" s="9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90"/>
  </cols>
  <sheetData>
    <row r="1" customFormat="false" ht="16.15" hidden="false" customHeight="false" outlineLevel="0" collapsed="false">
      <c r="B1" s="1" t="s">
        <v>149</v>
      </c>
    </row>
    <row r="2" customFormat="false" ht="15" hidden="false" customHeight="false" outlineLevel="0" collapsed="false">
      <c r="B2" s="9" t="s">
        <v>150</v>
      </c>
    </row>
    <row r="4" customFormat="false" ht="15" hidden="false" customHeight="false" outlineLevel="0" collapsed="false">
      <c r="B4" s="2" t="s">
        <v>151</v>
      </c>
    </row>
    <row r="5" customFormat="false" ht="15" hidden="false" customHeight="false" outlineLevel="0" collapsed="false">
      <c r="B5" s="27" t="s">
        <v>152</v>
      </c>
      <c r="C5" s="28" t="s">
        <v>153</v>
      </c>
    </row>
    <row r="6" customFormat="false" ht="15" hidden="false" customHeight="false" outlineLevel="0" collapsed="false">
      <c r="B6" s="27" t="s">
        <v>154</v>
      </c>
      <c r="C6" s="29" t="n">
        <v>46237</v>
      </c>
    </row>
    <row r="7" customFormat="false" ht="15" hidden="false" customHeight="false" outlineLevel="0" collapsed="false">
      <c r="B7" s="27" t="s">
        <v>155</v>
      </c>
      <c r="C7" s="30" t="n">
        <v>31</v>
      </c>
    </row>
    <row r="8" customFormat="false" ht="15" hidden="false" customHeight="false" outlineLevel="0" collapsed="false">
      <c r="B8" s="27" t="s">
        <v>156</v>
      </c>
      <c r="C8" s="31" t="n">
        <f aca="false">DAY(C6)</f>
        <v>3</v>
      </c>
    </row>
    <row r="9" customFormat="false" ht="15" hidden="false" customHeight="false" outlineLevel="0" collapsed="false">
      <c r="B9" s="27" t="s">
        <v>157</v>
      </c>
      <c r="C9" s="31" t="n">
        <f aca="false">C7-C8</f>
        <v>28</v>
      </c>
    </row>
    <row r="10" customFormat="false" ht="15" hidden="false" customHeight="false" outlineLevel="0" collapsed="false">
      <c r="B10" s="27" t="s">
        <v>158</v>
      </c>
      <c r="C10" s="32" t="n">
        <f aca="false">C8/C7</f>
        <v>0.0967741935483871</v>
      </c>
      <c r="E10" s="9" t="s">
        <v>159</v>
      </c>
    </row>
    <row r="12" customFormat="false" ht="15" hidden="false" customHeight="false" outlineLevel="0" collapsed="false">
      <c r="B12" s="2" t="s">
        <v>160</v>
      </c>
    </row>
    <row r="13" customFormat="false" ht="15" hidden="false" customHeight="false" outlineLevel="0" collapsed="false">
      <c r="B13" s="27" t="s">
        <v>161</v>
      </c>
      <c r="C13" s="30" t="n">
        <v>10000</v>
      </c>
      <c r="E13" s="9" t="s">
        <v>162</v>
      </c>
    </row>
    <row r="14" customFormat="false" ht="15" hidden="false" customHeight="false" outlineLevel="0" collapsed="false">
      <c r="B14" s="27" t="s">
        <v>133</v>
      </c>
      <c r="C14" s="33" t="n">
        <f aca="false">Painel!F14</f>
        <v>7983</v>
      </c>
    </row>
    <row r="15" customFormat="false" ht="15" hidden="false" customHeight="false" outlineLevel="0" collapsed="false">
      <c r="B15" s="27" t="s">
        <v>163</v>
      </c>
      <c r="C15" s="34" t="n">
        <f aca="false">C13-C14</f>
        <v>2017</v>
      </c>
      <c r="E15" s="9" t="s">
        <v>164</v>
      </c>
    </row>
    <row r="17" customFormat="false" ht="15" hidden="false" customHeight="false" outlineLevel="0" collapsed="false">
      <c r="B17" s="2" t="s">
        <v>165</v>
      </c>
    </row>
    <row r="18" customFormat="false" ht="15" hidden="false" customHeight="false" outlineLevel="0" collapsed="false">
      <c r="B18" s="27" t="s">
        <v>166</v>
      </c>
      <c r="C18" s="35" t="n">
        <v>44.3</v>
      </c>
      <c r="E18" s="9" t="s">
        <v>167</v>
      </c>
    </row>
    <row r="19" customFormat="false" ht="15" hidden="false" customHeight="false" outlineLevel="0" collapsed="false">
      <c r="B19" s="27" t="s">
        <v>168</v>
      </c>
      <c r="C19" s="36" t="n">
        <v>0</v>
      </c>
      <c r="E19" s="9" t="s">
        <v>169</v>
      </c>
    </row>
    <row r="20" customFormat="false" ht="15" hidden="false" customHeight="false" outlineLevel="0" collapsed="false">
      <c r="B20" s="27" t="s">
        <v>170</v>
      </c>
      <c r="C20" s="36" t="n">
        <v>0</v>
      </c>
      <c r="E20" s="9" t="s">
        <v>171</v>
      </c>
    </row>
    <row r="21" customFormat="false" ht="15" hidden="false" customHeight="false" outlineLevel="0" collapsed="false">
      <c r="B21" s="27" t="s">
        <v>172</v>
      </c>
      <c r="C21" s="9" t="s">
        <v>173</v>
      </c>
    </row>
    <row r="23" customFormat="false" ht="15" hidden="false" customHeight="false" outlineLevel="0" collapsed="false">
      <c r="B23" s="2" t="s">
        <v>174</v>
      </c>
    </row>
    <row r="24" customFormat="false" ht="15" hidden="false" customHeight="false" outlineLevel="0" collapsed="false">
      <c r="B24" s="5" t="s">
        <v>97</v>
      </c>
      <c r="C24" s="5" t="s">
        <v>175</v>
      </c>
      <c r="D24" s="5" t="s">
        <v>176</v>
      </c>
      <c r="E24" s="5" t="s">
        <v>177</v>
      </c>
    </row>
    <row r="25" customFormat="false" ht="15" hidden="false" customHeight="false" outlineLevel="0" collapsed="false">
      <c r="B25" s="24" t="s">
        <v>110</v>
      </c>
      <c r="C25" s="37" t="n">
        <v>0.1</v>
      </c>
      <c r="D25" s="36" t="n">
        <v>0</v>
      </c>
      <c r="E25" s="38" t="s">
        <v>113</v>
      </c>
    </row>
    <row r="26" customFormat="false" ht="15" hidden="false" customHeight="false" outlineLevel="0" collapsed="false">
      <c r="B26" s="24" t="s">
        <v>114</v>
      </c>
      <c r="C26" s="37" t="n">
        <v>0.3</v>
      </c>
      <c r="D26" s="36" t="n">
        <v>0</v>
      </c>
      <c r="E26" s="38" t="s">
        <v>113</v>
      </c>
    </row>
    <row r="27" customFormat="false" ht="15" hidden="false" customHeight="false" outlineLevel="0" collapsed="false">
      <c r="B27" s="24" t="s">
        <v>116</v>
      </c>
      <c r="C27" s="37" t="n">
        <v>0</v>
      </c>
      <c r="D27" s="36" t="n">
        <v>0</v>
      </c>
      <c r="E27" s="38" t="s">
        <v>118</v>
      </c>
    </row>
    <row r="28" customFormat="false" ht="15" hidden="false" customHeight="false" outlineLevel="0" collapsed="false">
      <c r="B28" s="24" t="s">
        <v>119</v>
      </c>
      <c r="C28" s="37" t="n">
        <v>0.15</v>
      </c>
      <c r="D28" s="36" t="n">
        <v>0</v>
      </c>
      <c r="E28" s="38" t="s">
        <v>121</v>
      </c>
    </row>
    <row r="29" customFormat="false" ht="15" hidden="false" customHeight="false" outlineLevel="0" collapsed="false">
      <c r="B29" s="24" t="s">
        <v>122</v>
      </c>
      <c r="C29" s="37" t="n">
        <v>0.5</v>
      </c>
      <c r="D29" s="36" t="n">
        <v>0</v>
      </c>
      <c r="E29" s="38" t="s">
        <v>121</v>
      </c>
    </row>
    <row r="30" customFormat="false" ht="15" hidden="false" customHeight="false" outlineLevel="0" collapsed="false">
      <c r="B30" s="24" t="s">
        <v>123</v>
      </c>
      <c r="C30" s="37" t="n">
        <v>0.2</v>
      </c>
      <c r="D30" s="36" t="n">
        <v>0</v>
      </c>
      <c r="E30" s="38" t="s">
        <v>121</v>
      </c>
    </row>
    <row r="31" customFormat="false" ht="15" hidden="false" customHeight="false" outlineLevel="0" collapsed="false">
      <c r="B31" s="24" t="s">
        <v>124</v>
      </c>
      <c r="C31" s="37" t="n">
        <v>0</v>
      </c>
      <c r="D31" s="36" t="n">
        <v>0</v>
      </c>
      <c r="E31" s="38" t="s">
        <v>126</v>
      </c>
    </row>
    <row r="32" customFormat="false" ht="15" hidden="false" customHeight="false" outlineLevel="0" collapsed="false">
      <c r="B32" s="24" t="s">
        <v>127</v>
      </c>
      <c r="C32" s="37" t="n">
        <v>0</v>
      </c>
      <c r="D32" s="36" t="n">
        <v>0</v>
      </c>
      <c r="E32" s="38" t="s">
        <v>126</v>
      </c>
    </row>
    <row r="34" customFormat="false" ht="15" hidden="false" customHeight="false" outlineLevel="0" collapsed="false">
      <c r="B34" s="9" t="s">
        <v>178</v>
      </c>
    </row>
    <row r="36" customFormat="false" ht="15" hidden="false" customHeight="false" outlineLevel="0" collapsed="false">
      <c r="B36" s="2" t="s">
        <v>179</v>
      </c>
    </row>
    <row r="37" customFormat="false" ht="15" hidden="false" customHeight="false" outlineLevel="0" collapsed="false">
      <c r="B37" s="27" t="s">
        <v>180</v>
      </c>
      <c r="C37" s="39" t="n">
        <v>40000</v>
      </c>
    </row>
    <row r="38" customFormat="false" ht="15" hidden="false" customHeight="false" outlineLevel="0" collapsed="false">
      <c r="B38" s="27" t="s">
        <v>181</v>
      </c>
      <c r="C38" s="40" t="n">
        <v>7.8</v>
      </c>
    </row>
    <row r="39" customFormat="false" ht="15" hidden="false" customHeight="false" outlineLevel="0" collapsed="false">
      <c r="B39" s="27" t="s">
        <v>182</v>
      </c>
      <c r="C39" s="41" t="n">
        <f aca="false">C37*C38</f>
        <v>312000</v>
      </c>
    </row>
    <row r="40" customFormat="false" ht="15" hidden="false" customHeight="false" outlineLevel="0" collapsed="false">
      <c r="B40" s="27" t="s">
        <v>183</v>
      </c>
      <c r="C40" s="36" t="n">
        <v>0.69</v>
      </c>
      <c r="E40" s="9" t="s">
        <v>184</v>
      </c>
    </row>
    <row r="41" customFormat="false" ht="15" hidden="false" customHeight="false" outlineLevel="0" collapsed="false">
      <c r="B41" s="27" t="s">
        <v>185</v>
      </c>
      <c r="C41" s="41" t="n">
        <f aca="false">C39*(1-C40)</f>
        <v>96720</v>
      </c>
    </row>
    <row r="42" customFormat="false" ht="15" hidden="false" customHeight="false" outlineLevel="0" collapsed="false">
      <c r="B42" s="9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60"/>
  </cols>
  <sheetData>
    <row r="1" customFormat="false" ht="16.15" hidden="false" customHeight="false" outlineLevel="0" collapsed="false">
      <c r="A1" s="1" t="s">
        <v>187</v>
      </c>
    </row>
    <row r="2" customFormat="false" ht="15" hidden="false" customHeight="false" outlineLevel="0" collapsed="false">
      <c r="A2" s="9" t="s">
        <v>188</v>
      </c>
    </row>
    <row r="4" customFormat="false" ht="30" hidden="false" customHeight="true" outlineLevel="0" collapsed="false">
      <c r="A4" s="10" t="s">
        <v>189</v>
      </c>
      <c r="B4" s="10" t="s">
        <v>190</v>
      </c>
      <c r="C4" s="10" t="s">
        <v>191</v>
      </c>
      <c r="D4" s="10" t="s">
        <v>192</v>
      </c>
      <c r="E4" s="10" t="s">
        <v>193</v>
      </c>
      <c r="F4" s="10" t="s">
        <v>192</v>
      </c>
      <c r="G4" s="10" t="s">
        <v>194</v>
      </c>
      <c r="H4" s="10" t="s">
        <v>192</v>
      </c>
      <c r="I4" s="10" t="s">
        <v>195</v>
      </c>
      <c r="J4" s="10" t="s">
        <v>196</v>
      </c>
      <c r="K4" s="10" t="s">
        <v>197</v>
      </c>
    </row>
    <row r="5" customFormat="false" ht="15" hidden="false" customHeight="false" outlineLevel="0" collapsed="false">
      <c r="A5" s="11" t="s">
        <v>198</v>
      </c>
      <c r="B5" s="12" t="s">
        <v>110</v>
      </c>
      <c r="C5" s="12" t="s">
        <v>199</v>
      </c>
      <c r="D5" s="28" t="n">
        <v>12</v>
      </c>
      <c r="E5" s="12" t="s">
        <v>200</v>
      </c>
      <c r="F5" s="28" t="n">
        <v>12</v>
      </c>
      <c r="G5" s="12" t="s">
        <v>201</v>
      </c>
      <c r="H5" s="28" t="n">
        <v>8</v>
      </c>
      <c r="I5" s="42" t="n">
        <f aca="false">ROUND(D5*F5*H5,0)</f>
        <v>1152</v>
      </c>
      <c r="J5" s="12"/>
      <c r="K5" s="38" t="s">
        <v>202</v>
      </c>
    </row>
    <row r="6" customFormat="false" ht="15" hidden="false" customHeight="false" outlineLevel="0" collapsed="false">
      <c r="A6" s="11" t="s">
        <v>203</v>
      </c>
      <c r="B6" s="12" t="s">
        <v>114</v>
      </c>
      <c r="C6" s="12" t="s">
        <v>204</v>
      </c>
      <c r="D6" s="28" t="n">
        <v>60</v>
      </c>
      <c r="E6" s="12" t="s">
        <v>205</v>
      </c>
      <c r="F6" s="28" t="n">
        <v>6</v>
      </c>
      <c r="G6" s="12" t="s">
        <v>206</v>
      </c>
      <c r="H6" s="28" t="n">
        <v>1.2</v>
      </c>
      <c r="I6" s="42" t="n">
        <f aca="false">ROUND(D6*F6*H6,0)</f>
        <v>432</v>
      </c>
      <c r="J6" s="12"/>
      <c r="K6" s="38" t="s">
        <v>207</v>
      </c>
    </row>
    <row r="7" customFormat="false" ht="15" hidden="false" customHeight="false" outlineLevel="0" collapsed="false">
      <c r="A7" s="11" t="s">
        <v>208</v>
      </c>
      <c r="B7" s="12" t="s">
        <v>114</v>
      </c>
      <c r="C7" s="12" t="s">
        <v>209</v>
      </c>
      <c r="D7" s="28" t="n">
        <v>120</v>
      </c>
      <c r="E7" s="12" t="s">
        <v>210</v>
      </c>
      <c r="F7" s="37" t="n">
        <v>0.35</v>
      </c>
      <c r="G7" s="12" t="s">
        <v>211</v>
      </c>
      <c r="H7" s="28" t="n">
        <v>9</v>
      </c>
      <c r="I7" s="42" t="n">
        <f aca="false">ROUND(D7*F7*H7,0)</f>
        <v>378</v>
      </c>
      <c r="J7" s="12"/>
      <c r="K7" s="38" t="s">
        <v>212</v>
      </c>
    </row>
    <row r="8" customFormat="false" ht="15" hidden="false" customHeight="false" outlineLevel="0" collapsed="false">
      <c r="A8" s="11" t="s">
        <v>213</v>
      </c>
      <c r="B8" s="12" t="s">
        <v>119</v>
      </c>
      <c r="C8" s="12" t="s">
        <v>214</v>
      </c>
      <c r="D8" s="28" t="n">
        <v>26</v>
      </c>
      <c r="E8" s="12" t="s">
        <v>215</v>
      </c>
      <c r="F8" s="28" t="n">
        <v>4</v>
      </c>
      <c r="G8" s="12" t="s">
        <v>216</v>
      </c>
      <c r="H8" s="28" t="n">
        <v>6</v>
      </c>
      <c r="I8" s="42" t="n">
        <f aca="false">ROUND(D8*F8*H8,0)</f>
        <v>624</v>
      </c>
      <c r="J8" s="12"/>
      <c r="K8" s="38" t="s">
        <v>217</v>
      </c>
    </row>
    <row r="9" customFormat="false" ht="15" hidden="false" customHeight="false" outlineLevel="0" collapsed="false">
      <c r="A9" s="11" t="s">
        <v>218</v>
      </c>
      <c r="B9" s="12" t="s">
        <v>110</v>
      </c>
      <c r="C9" s="12" t="s">
        <v>219</v>
      </c>
      <c r="D9" s="28" t="n">
        <v>3</v>
      </c>
      <c r="E9" s="12" t="s">
        <v>220</v>
      </c>
      <c r="F9" s="28" t="n">
        <v>400</v>
      </c>
      <c r="G9" s="12" t="s">
        <v>221</v>
      </c>
      <c r="H9" s="37" t="n">
        <v>0.4</v>
      </c>
      <c r="I9" s="42" t="n">
        <f aca="false">ROUND(D9*F9*H9,0)</f>
        <v>480</v>
      </c>
      <c r="J9" s="12"/>
      <c r="K9" s="38" t="s">
        <v>222</v>
      </c>
    </row>
    <row r="10" customFormat="false" ht="15" hidden="false" customHeight="false" outlineLevel="0" collapsed="false">
      <c r="A10" s="11" t="s">
        <v>223</v>
      </c>
      <c r="B10" s="12" t="s">
        <v>224</v>
      </c>
      <c r="C10" s="12" t="s">
        <v>225</v>
      </c>
      <c r="D10" s="28" t="n">
        <v>40000</v>
      </c>
      <c r="E10" s="12" t="s">
        <v>226</v>
      </c>
      <c r="F10" s="28" t="n">
        <v>7.8</v>
      </c>
      <c r="G10" s="12" t="s">
        <v>227</v>
      </c>
      <c r="H10" s="28" t="n">
        <v>80</v>
      </c>
      <c r="I10" s="42" t="n">
        <f aca="false">ROUND(D10*F10/H10*(1-Premissas!$C$40),0)</f>
        <v>1209</v>
      </c>
      <c r="J10" s="12"/>
      <c r="K10" s="38" t="s">
        <v>228</v>
      </c>
    </row>
    <row r="11" customFormat="false" ht="15" hidden="false" customHeight="false" outlineLevel="0" collapsed="false">
      <c r="A11" s="11" t="s">
        <v>229</v>
      </c>
      <c r="B11" s="12" t="s">
        <v>124</v>
      </c>
      <c r="C11" s="12" t="s">
        <v>214</v>
      </c>
      <c r="D11" s="28" t="n">
        <v>0</v>
      </c>
      <c r="E11" s="12" t="s">
        <v>230</v>
      </c>
      <c r="F11" s="28" t="n">
        <v>0</v>
      </c>
      <c r="G11" s="12" t="s">
        <v>231</v>
      </c>
      <c r="H11" s="28" t="n">
        <v>1.1</v>
      </c>
      <c r="I11" s="42" t="n">
        <f aca="false">ROUND(D11*F11*H11,0)</f>
        <v>0</v>
      </c>
      <c r="J11" s="12"/>
      <c r="K11" s="38" t="s">
        <v>232</v>
      </c>
    </row>
    <row r="12" customFormat="false" ht="15" hidden="false" customHeight="false" outlineLevel="0" collapsed="false">
      <c r="F12" s="9" t="s">
        <v>233</v>
      </c>
    </row>
    <row r="13" customFormat="false" ht="15" hidden="false" customHeight="false" outlineLevel="0" collapsed="false">
      <c r="A13" s="19" t="s">
        <v>234</v>
      </c>
      <c r="B13" s="43"/>
      <c r="C13" s="43"/>
      <c r="D13" s="43"/>
      <c r="E13" s="43"/>
      <c r="F13" s="43"/>
      <c r="G13" s="43"/>
      <c r="H13" s="43"/>
      <c r="I13" s="20" t="n">
        <f aca="false">SUM(I5:I11)</f>
        <v>4275</v>
      </c>
      <c r="J13" s="43"/>
      <c r="K13" s="43"/>
    </row>
    <row r="15" customFormat="false" ht="15" hidden="false" customHeight="false" outlineLevel="0" collapsed="false">
      <c r="A15" s="3" t="s">
        <v>235</v>
      </c>
      <c r="I15" s="33" t="n">
        <f aca="false">Painel!E14</f>
        <v>6830</v>
      </c>
    </row>
    <row r="16" customFormat="false" ht="15" hidden="false" customHeight="false" outlineLevel="0" collapsed="false">
      <c r="A16" s="3" t="s">
        <v>236</v>
      </c>
      <c r="I16" s="44" t="n">
        <f aca="false">I15+I13</f>
        <v>11105</v>
      </c>
    </row>
    <row r="17" customFormat="false" ht="15" hidden="false" customHeight="false" outlineLevel="0" collapsed="false">
      <c r="A17" s="3" t="s">
        <v>237</v>
      </c>
      <c r="I17" s="33" t="n">
        <f aca="false">Premissas!$C$13</f>
        <v>10000</v>
      </c>
    </row>
    <row r="18" customFormat="false" ht="15" hidden="false" customHeight="false" outlineLevel="0" collapsed="false">
      <c r="A18" s="3" t="s">
        <v>238</v>
      </c>
      <c r="I18" s="34" t="n">
        <f aca="false">I16-I17</f>
        <v>1105</v>
      </c>
    </row>
    <row r="20" customFormat="false" ht="15" hidden="false" customHeight="false" outlineLevel="0" collapsed="false">
      <c r="A20" s="9" t="s">
        <v>239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5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5" min="14" style="0" width="13"/>
    <col collapsed="false" customWidth="true" hidden="false" outlineLevel="0" max="16" min="16" style="0" width="11"/>
    <col collapsed="false" customWidth="true" hidden="false" outlineLevel="0" max="18" min="17" style="0" width="12"/>
    <col collapsed="false" customWidth="true" hidden="false" outlineLevel="0" max="19" min="19" style="0" width="14"/>
  </cols>
  <sheetData>
    <row r="1" customFormat="false" ht="16.15" hidden="false" customHeight="false" outlineLevel="0" collapsed="false">
      <c r="A1" s="1" t="s">
        <v>240</v>
      </c>
    </row>
    <row r="2" customFormat="false" ht="15" hidden="false" customHeight="false" outlineLevel="0" collapsed="false">
      <c r="A2" s="3" t="s">
        <v>241</v>
      </c>
      <c r="B2" s="27" t="s">
        <v>110</v>
      </c>
      <c r="C2" s="3" t="s">
        <v>242</v>
      </c>
      <c r="D2" s="27" t="s">
        <v>111</v>
      </c>
      <c r="F2" s="3" t="s">
        <v>243</v>
      </c>
      <c r="G2" s="27" t="s">
        <v>112</v>
      </c>
      <c r="I2" s="3" t="s">
        <v>244</v>
      </c>
      <c r="K2" s="27" t="s">
        <v>113</v>
      </c>
    </row>
    <row r="3" customFormat="false" ht="15" hidden="false" customHeight="false" outlineLevel="0" collapsed="false">
      <c r="A3" s="3" t="s">
        <v>245</v>
      </c>
      <c r="B3" s="27" t="s">
        <v>246</v>
      </c>
    </row>
    <row r="4" customFormat="false" ht="15" hidden="false" customHeight="false" outlineLevel="0" collapsed="false">
      <c r="A4" s="3" t="s">
        <v>247</v>
      </c>
      <c r="B4" s="45" t="n">
        <f aca="false">Premissas!$C$25</f>
        <v>0.1</v>
      </c>
      <c r="C4" s="3" t="s">
        <v>248</v>
      </c>
      <c r="D4" s="45" t="n">
        <f aca="false">Premissas!$D$25</f>
        <v>0</v>
      </c>
      <c r="F4" s="3" t="s">
        <v>249</v>
      </c>
      <c r="G4" s="46" t="n">
        <f aca="false">Premissas!$C$18</f>
        <v>44.3</v>
      </c>
    </row>
    <row r="5" customFormat="false" ht="15" hidden="false" customHeight="false" outlineLevel="0" collapsed="false">
      <c r="A5" s="3" t="s">
        <v>250</v>
      </c>
      <c r="B5" s="47" t="n">
        <f aca="false">G21</f>
        <v>2977</v>
      </c>
      <c r="C5" s="3" t="s">
        <v>251</v>
      </c>
      <c r="D5" s="48" t="n">
        <f aca="false">I21</f>
        <v>222091.73</v>
      </c>
      <c r="F5" s="3" t="s">
        <v>252</v>
      </c>
      <c r="G5" s="48" t="n">
        <f aca="false">L21</f>
        <v>90210.63</v>
      </c>
      <c r="I5" s="3" t="s">
        <v>253</v>
      </c>
      <c r="K5" s="49" t="n">
        <f aca="false">P21</f>
        <v>0.760161236143769</v>
      </c>
    </row>
    <row r="7" customFormat="false" ht="30" hidden="false" customHeight="true" outlineLevel="0" collapsed="false">
      <c r="A7" s="10" t="s">
        <v>254</v>
      </c>
      <c r="B7" s="10" t="s">
        <v>255</v>
      </c>
      <c r="C7" s="10" t="s">
        <v>256</v>
      </c>
      <c r="D7" s="10" t="s">
        <v>101</v>
      </c>
      <c r="E7" s="10" t="s">
        <v>257</v>
      </c>
      <c r="F7" s="10" t="s">
        <v>258</v>
      </c>
      <c r="G7" s="10" t="s">
        <v>102</v>
      </c>
      <c r="H7" s="10" t="s">
        <v>39</v>
      </c>
      <c r="I7" s="10" t="s">
        <v>103</v>
      </c>
      <c r="J7" s="10" t="s">
        <v>42</v>
      </c>
      <c r="K7" s="10" t="s">
        <v>259</v>
      </c>
      <c r="L7" s="10" t="s">
        <v>104</v>
      </c>
      <c r="M7" s="10" t="s">
        <v>105</v>
      </c>
      <c r="N7" s="10" t="s">
        <v>56</v>
      </c>
      <c r="O7" s="10" t="s">
        <v>60</v>
      </c>
      <c r="P7" s="10" t="s">
        <v>106</v>
      </c>
      <c r="Q7" s="10" t="s">
        <v>64</v>
      </c>
      <c r="R7" s="10" t="s">
        <v>108</v>
      </c>
      <c r="S7" s="10" t="s">
        <v>260</v>
      </c>
    </row>
    <row r="8" customFormat="false" ht="15" hidden="false" customHeight="false" outlineLevel="0" collapsed="false">
      <c r="A8" s="11" t="s">
        <v>261</v>
      </c>
      <c r="B8" s="12" t="s">
        <v>262</v>
      </c>
      <c r="C8" s="12" t="s">
        <v>263</v>
      </c>
      <c r="D8" s="50" t="n">
        <v>1186</v>
      </c>
      <c r="E8" s="51" t="n">
        <f aca="false">IFERROR(D8/$D$21,0)</f>
        <v>0.438447319778189</v>
      </c>
      <c r="F8" s="30" t="n">
        <v>0</v>
      </c>
      <c r="G8" s="50" t="n">
        <f aca="false">ROUND(D8*(1+$B$4),0)+F8</f>
        <v>1305</v>
      </c>
      <c r="H8" s="35" t="n">
        <v>72.47</v>
      </c>
      <c r="I8" s="52" t="n">
        <f aca="false">G8*H8</f>
        <v>94573.35</v>
      </c>
      <c r="J8" s="53" t="n">
        <f aca="false">Premissas!$C$18</f>
        <v>44.3</v>
      </c>
      <c r="K8" s="54" t="n">
        <f aca="false">H8*(1-Premissas!$C$19)*(1-$D$4)*(1-Premissas!$C$20)-J8</f>
        <v>28.17</v>
      </c>
      <c r="L8" s="52" t="n">
        <f aca="false">G8*K8</f>
        <v>36761.85</v>
      </c>
      <c r="M8" s="50" t="n">
        <f aca="false">SUMIFS('Log diário'!$D:$D,'Log diário'!$B:$B,$B$2,'Log diário'!$C:$C,$A8)</f>
        <v>83</v>
      </c>
      <c r="N8" s="52" t="n">
        <f aca="false">SUMIFS('Log diário'!$E:$E,'Log diário'!$B:$B,$B$2,'Log diário'!$C:$C,$A8)</f>
        <v>6015.01</v>
      </c>
      <c r="O8" s="50" t="n">
        <f aca="false">G8*Premissas!$C$10</f>
        <v>126.290322580645</v>
      </c>
      <c r="P8" s="55" t="n">
        <f aca="false">IFERROR(M8/O8,0)</f>
        <v>0.657215836526181</v>
      </c>
      <c r="Q8" s="50" t="n">
        <f aca="false">IFERROR(M8/Premissas!$C$8*Premissas!$C$7,0)</f>
        <v>857.666666666667</v>
      </c>
      <c r="R8" s="50" t="n">
        <f aca="false">Q8-G8</f>
        <v>-447.333333333333</v>
      </c>
      <c r="S8" s="56" t="n">
        <f aca="false">IFERROR(MAX(0,G8-M8)/Premissas!$C$9,0)</f>
        <v>43.6428571428571</v>
      </c>
    </row>
    <row r="9" customFormat="false" ht="15" hidden="false" customHeight="false" outlineLevel="0" collapsed="false">
      <c r="A9" s="11" t="s">
        <v>264</v>
      </c>
      <c r="B9" s="12" t="s">
        <v>265</v>
      </c>
      <c r="C9" s="12" t="s">
        <v>263</v>
      </c>
      <c r="D9" s="50" t="n">
        <v>912</v>
      </c>
      <c r="E9" s="51" t="n">
        <f aca="false">IFERROR(D9/$D$21,0)</f>
        <v>0.337153419593346</v>
      </c>
      <c r="F9" s="30" t="n">
        <v>0</v>
      </c>
      <c r="G9" s="50" t="n">
        <f aca="false">ROUND(D9*(1+$B$4),0)+F9</f>
        <v>1003</v>
      </c>
      <c r="H9" s="35" t="n">
        <v>74.11</v>
      </c>
      <c r="I9" s="52" t="n">
        <f aca="false">G9*H9</f>
        <v>74332.33</v>
      </c>
      <c r="J9" s="53" t="n">
        <f aca="false">Premissas!$C$18</f>
        <v>44.3</v>
      </c>
      <c r="K9" s="54" t="n">
        <f aca="false">H9*(1-Premissas!$C$19)*(1-$D$4)*(1-Premissas!$C$20)-J9</f>
        <v>29.81</v>
      </c>
      <c r="L9" s="52" t="n">
        <f aca="false">G9*K9</f>
        <v>29899.43</v>
      </c>
      <c r="M9" s="50" t="n">
        <f aca="false">SUMIFS('Log diário'!$D:$D,'Log diário'!$B:$B,$B$2,'Log diário'!$C:$C,$A9)</f>
        <v>80</v>
      </c>
      <c r="N9" s="52" t="n">
        <f aca="false">SUMIFS('Log diário'!$E:$E,'Log diário'!$B:$B,$B$2,'Log diário'!$C:$C,$A9)</f>
        <v>5928.8</v>
      </c>
      <c r="O9" s="50" t="n">
        <f aca="false">G9*Premissas!$C$10</f>
        <v>97.0645161290323</v>
      </c>
      <c r="P9" s="55" t="n">
        <f aca="false">IFERROR(M9/O9,0)</f>
        <v>0.824194084413427</v>
      </c>
      <c r="Q9" s="50" t="n">
        <f aca="false">IFERROR(M9/Premissas!$C$8*Premissas!$C$7,0)</f>
        <v>826.666666666667</v>
      </c>
      <c r="R9" s="50" t="n">
        <f aca="false">Q9-G9</f>
        <v>-176.333333333333</v>
      </c>
      <c r="S9" s="56" t="n">
        <f aca="false">IFERROR(MAX(0,G9-M9)/Premissas!$C$9,0)</f>
        <v>32.9642857142857</v>
      </c>
    </row>
    <row r="10" customFormat="false" ht="15" hidden="false" customHeight="false" outlineLevel="0" collapsed="false">
      <c r="A10" s="11" t="s">
        <v>266</v>
      </c>
      <c r="B10" s="12" t="s">
        <v>267</v>
      </c>
      <c r="C10" s="12" t="s">
        <v>263</v>
      </c>
      <c r="D10" s="50" t="n">
        <v>325</v>
      </c>
      <c r="E10" s="51" t="n">
        <f aca="false">IFERROR(D10/$D$21,0)</f>
        <v>0.120147874306839</v>
      </c>
      <c r="F10" s="30" t="n">
        <v>0</v>
      </c>
      <c r="G10" s="50" t="n">
        <f aca="false">ROUND(D10*(1+$B$4),0)+F10</f>
        <v>358</v>
      </c>
      <c r="H10" s="35" t="n">
        <v>72.44</v>
      </c>
      <c r="I10" s="52" t="n">
        <f aca="false">G10*H10</f>
        <v>25933.52</v>
      </c>
      <c r="J10" s="53" t="n">
        <f aca="false">Premissas!$C$18</f>
        <v>44.3</v>
      </c>
      <c r="K10" s="54" t="n">
        <f aca="false">H10*(1-Premissas!$C$19)*(1-$D$4)*(1-Premissas!$C$20)-J10</f>
        <v>28.14</v>
      </c>
      <c r="L10" s="52" t="n">
        <f aca="false">G10*K10</f>
        <v>10074.12</v>
      </c>
      <c r="M10" s="50" t="n">
        <f aca="false">SUMIFS('Log diário'!$D:$D,'Log diário'!$B:$B,$B$2,'Log diário'!$C:$C,$A10)</f>
        <v>25</v>
      </c>
      <c r="N10" s="52" t="n">
        <f aca="false">SUMIFS('Log diário'!$E:$E,'Log diário'!$B:$B,$B$2,'Log diário'!$C:$C,$A10)</f>
        <v>1811</v>
      </c>
      <c r="O10" s="50" t="n">
        <f aca="false">G10*Premissas!$C$10</f>
        <v>34.6451612903226</v>
      </c>
      <c r="P10" s="55" t="n">
        <f aca="false">IFERROR(M10/O10,0)</f>
        <v>0.721601489757914</v>
      </c>
      <c r="Q10" s="50" t="n">
        <f aca="false">IFERROR(M10/Premissas!$C$8*Premissas!$C$7,0)</f>
        <v>258.333333333333</v>
      </c>
      <c r="R10" s="50" t="n">
        <f aca="false">Q10-G10</f>
        <v>-99.6666666666666</v>
      </c>
      <c r="S10" s="56" t="n">
        <f aca="false">IFERROR(MAX(0,G10-M10)/Premissas!$C$9,0)</f>
        <v>11.8928571428571</v>
      </c>
    </row>
    <row r="11" customFormat="false" ht="15" hidden="false" customHeight="false" outlineLevel="0" collapsed="false">
      <c r="A11" s="11" t="s">
        <v>268</v>
      </c>
      <c r="B11" s="12" t="s">
        <v>269</v>
      </c>
      <c r="C11" s="12" t="s">
        <v>270</v>
      </c>
      <c r="D11" s="50" t="n">
        <v>70</v>
      </c>
      <c r="E11" s="51" t="n">
        <f aca="false">IFERROR(D11/$D$21,0)</f>
        <v>0.0258780036968577</v>
      </c>
      <c r="F11" s="30" t="n">
        <v>0</v>
      </c>
      <c r="G11" s="50" t="n">
        <f aca="false">ROUND(D11*(1+$B$4),0)+F11</f>
        <v>77</v>
      </c>
      <c r="H11" s="35" t="n">
        <v>85.88</v>
      </c>
      <c r="I11" s="52" t="n">
        <f aca="false">G11*H11</f>
        <v>6612.76</v>
      </c>
      <c r="J11" s="53" t="n">
        <f aca="false">Premissas!$C$18</f>
        <v>44.3</v>
      </c>
      <c r="K11" s="54" t="n">
        <f aca="false">H11*(1-Premissas!$C$19)*(1-$D$4)*(1-Premissas!$C$20)-J11</f>
        <v>41.58</v>
      </c>
      <c r="L11" s="52" t="n">
        <f aca="false">G11*K11</f>
        <v>3201.66</v>
      </c>
      <c r="M11" s="50" t="n">
        <f aca="false">SUMIFS('Log diário'!$D:$D,'Log diário'!$B:$B,$B$2,'Log diário'!$C:$C,$A11)</f>
        <v>13</v>
      </c>
      <c r="N11" s="52" t="n">
        <f aca="false">SUMIFS('Log diário'!$E:$E,'Log diário'!$B:$B,$B$2,'Log diário'!$C:$C,$A11)</f>
        <v>1116.44</v>
      </c>
      <c r="O11" s="50" t="n">
        <f aca="false">G11*Premissas!$C$10</f>
        <v>7.45161290322581</v>
      </c>
      <c r="P11" s="55" t="n">
        <f aca="false">IFERROR(M11/O11,0)</f>
        <v>1.74458874458874</v>
      </c>
      <c r="Q11" s="50" t="n">
        <f aca="false">IFERROR(M11/Premissas!$C$8*Premissas!$C$7,0)</f>
        <v>134.333333333333</v>
      </c>
      <c r="R11" s="50" t="n">
        <f aca="false">Q11-G11</f>
        <v>57.3333333333333</v>
      </c>
      <c r="S11" s="56" t="n">
        <f aca="false">IFERROR(MAX(0,G11-M11)/Premissas!$C$9,0)</f>
        <v>2.28571428571429</v>
      </c>
    </row>
    <row r="12" customFormat="false" ht="15" hidden="false" customHeight="false" outlineLevel="0" collapsed="false">
      <c r="A12" s="11" t="s">
        <v>271</v>
      </c>
      <c r="B12" s="12" t="s">
        <v>272</v>
      </c>
      <c r="C12" s="12" t="s">
        <v>270</v>
      </c>
      <c r="D12" s="50" t="n">
        <v>46</v>
      </c>
      <c r="E12" s="51" t="n">
        <f aca="false">IFERROR(D12/$D$21,0)</f>
        <v>0.0170055452865065</v>
      </c>
      <c r="F12" s="30" t="n">
        <v>0</v>
      </c>
      <c r="G12" s="50" t="n">
        <f aca="false">ROUND(D12*(1+$B$4),0)+F12</f>
        <v>51</v>
      </c>
      <c r="H12" s="35" t="n">
        <v>84.51</v>
      </c>
      <c r="I12" s="52" t="n">
        <f aca="false">G12*H12</f>
        <v>4310.01</v>
      </c>
      <c r="J12" s="53" t="n">
        <f aca="false">Premissas!$C$18</f>
        <v>44.3</v>
      </c>
      <c r="K12" s="54" t="n">
        <f aca="false">H12*(1-Premissas!$C$19)*(1-$D$4)*(1-Premissas!$C$20)-J12</f>
        <v>40.21</v>
      </c>
      <c r="L12" s="52" t="n">
        <f aca="false">G12*K12</f>
        <v>2050.71</v>
      </c>
      <c r="M12" s="50" t="n">
        <f aca="false">SUMIFS('Log diário'!$D:$D,'Log diário'!$B:$B,$B$2,'Log diário'!$C:$C,$A12)</f>
        <v>2</v>
      </c>
      <c r="N12" s="52" t="n">
        <f aca="false">SUMIFS('Log diário'!$E:$E,'Log diário'!$B:$B,$B$2,'Log diário'!$C:$C,$A12)</f>
        <v>169.02</v>
      </c>
      <c r="O12" s="50" t="n">
        <f aca="false">G12*Premissas!$C$10</f>
        <v>4.93548387096774</v>
      </c>
      <c r="P12" s="55" t="n">
        <f aca="false">IFERROR(M12/O12,0)</f>
        <v>0.405228758169935</v>
      </c>
      <c r="Q12" s="50" t="n">
        <f aca="false">IFERROR(M12/Premissas!$C$8*Premissas!$C$7,0)</f>
        <v>20.6666666666667</v>
      </c>
      <c r="R12" s="50" t="n">
        <f aca="false">Q12-G12</f>
        <v>-30.3333333333333</v>
      </c>
      <c r="S12" s="56" t="n">
        <f aca="false">IFERROR(MAX(0,G12-M12)/Premissas!$C$9,0)</f>
        <v>1.75</v>
      </c>
    </row>
    <row r="13" customFormat="false" ht="15" hidden="false" customHeight="false" outlineLevel="0" collapsed="false">
      <c r="A13" s="11" t="s">
        <v>273</v>
      </c>
      <c r="B13" s="12" t="s">
        <v>274</v>
      </c>
      <c r="C13" s="12" t="s">
        <v>270</v>
      </c>
      <c r="D13" s="50" t="n">
        <v>35</v>
      </c>
      <c r="E13" s="51" t="n">
        <f aca="false">IFERROR(D13/$D$21,0)</f>
        <v>0.0129390018484288</v>
      </c>
      <c r="F13" s="30" t="n">
        <v>0</v>
      </c>
      <c r="G13" s="50" t="n">
        <f aca="false">ROUND(D13*(1+$B$4),0)+F13</f>
        <v>39</v>
      </c>
      <c r="H13" s="35" t="n">
        <v>82.05</v>
      </c>
      <c r="I13" s="52" t="n">
        <f aca="false">G13*H13</f>
        <v>3199.95</v>
      </c>
      <c r="J13" s="53" t="n">
        <f aca="false">Premissas!$C$18</f>
        <v>44.3</v>
      </c>
      <c r="K13" s="54" t="n">
        <f aca="false">H13*(1-Premissas!$C$19)*(1-$D$4)*(1-Premissas!$C$20)-J13</f>
        <v>37.75</v>
      </c>
      <c r="L13" s="52" t="n">
        <f aca="false">G13*K13</f>
        <v>1472.25</v>
      </c>
      <c r="M13" s="50" t="n">
        <f aca="false">SUMIFS('Log diário'!$D:$D,'Log diário'!$B:$B,$B$2,'Log diário'!$C:$C,$A13)</f>
        <v>0</v>
      </c>
      <c r="N13" s="52" t="n">
        <f aca="false">SUMIFS('Log diário'!$E:$E,'Log diário'!$B:$B,$B$2,'Log diário'!$C:$C,$A13)</f>
        <v>0</v>
      </c>
      <c r="O13" s="50" t="n">
        <f aca="false">G13*Premissas!$C$10</f>
        <v>3.7741935483871</v>
      </c>
      <c r="P13" s="55" t="n">
        <f aca="false">IFERROR(M13/O13,0)</f>
        <v>0</v>
      </c>
      <c r="Q13" s="50" t="n">
        <f aca="false">IFERROR(M13/Premissas!$C$8*Premissas!$C$7,0)</f>
        <v>0</v>
      </c>
      <c r="R13" s="50" t="n">
        <f aca="false">Q13-G13</f>
        <v>-39</v>
      </c>
      <c r="S13" s="56" t="n">
        <f aca="false">IFERROR(MAX(0,G13-M13)/Premissas!$C$9,0)</f>
        <v>1.39285714285714</v>
      </c>
    </row>
    <row r="14" customFormat="false" ht="15" hidden="false" customHeight="false" outlineLevel="0" collapsed="false">
      <c r="A14" s="11" t="s">
        <v>275</v>
      </c>
      <c r="B14" s="12" t="s">
        <v>276</v>
      </c>
      <c r="C14" s="12" t="s">
        <v>270</v>
      </c>
      <c r="D14" s="50" t="n">
        <v>28</v>
      </c>
      <c r="E14" s="51" t="n">
        <f aca="false">IFERROR(D14/$D$21,0)</f>
        <v>0.0103512014787431</v>
      </c>
      <c r="F14" s="30" t="n">
        <v>0</v>
      </c>
      <c r="G14" s="50" t="n">
        <f aca="false">ROUND(D14*(1+$B$4),0)+F14</f>
        <v>31</v>
      </c>
      <c r="H14" s="35" t="n">
        <v>79.61</v>
      </c>
      <c r="I14" s="52" t="n">
        <f aca="false">G14*H14</f>
        <v>2467.91</v>
      </c>
      <c r="J14" s="53" t="n">
        <f aca="false">Premissas!$C$18</f>
        <v>44.3</v>
      </c>
      <c r="K14" s="54" t="n">
        <f aca="false">H14*(1-Premissas!$C$19)*(1-$D$4)*(1-Premissas!$C$20)-J14</f>
        <v>35.31</v>
      </c>
      <c r="L14" s="52" t="n">
        <f aca="false">G14*K14</f>
        <v>1094.61</v>
      </c>
      <c r="M14" s="50" t="n">
        <f aca="false">SUMIFS('Log diário'!$D:$D,'Log diário'!$B:$B,$B$2,'Log diário'!$C:$C,$A14)</f>
        <v>6</v>
      </c>
      <c r="N14" s="52" t="n">
        <f aca="false">SUMIFS('Log diário'!$E:$E,'Log diário'!$B:$B,$B$2,'Log diário'!$C:$C,$A14)</f>
        <v>477.66</v>
      </c>
      <c r="O14" s="50" t="n">
        <f aca="false">G14*Premissas!$C$10</f>
        <v>3</v>
      </c>
      <c r="P14" s="55" t="n">
        <f aca="false">IFERROR(M14/O14,0)</f>
        <v>2</v>
      </c>
      <c r="Q14" s="50" t="n">
        <f aca="false">IFERROR(M14/Premissas!$C$8*Premissas!$C$7,0)</f>
        <v>62</v>
      </c>
      <c r="R14" s="50" t="n">
        <f aca="false">Q14-G14</f>
        <v>31</v>
      </c>
      <c r="S14" s="56" t="n">
        <f aca="false">IFERROR(MAX(0,G14-M14)/Premissas!$C$9,0)</f>
        <v>0.892857142857143</v>
      </c>
    </row>
    <row r="15" customFormat="false" ht="15" hidden="false" customHeight="false" outlineLevel="0" collapsed="false">
      <c r="A15" s="11" t="s">
        <v>277</v>
      </c>
      <c r="B15" s="12" t="s">
        <v>278</v>
      </c>
      <c r="C15" s="12" t="s">
        <v>270</v>
      </c>
      <c r="D15" s="50" t="n">
        <v>22</v>
      </c>
      <c r="E15" s="51" t="n">
        <f aca="false">IFERROR(D15/$D$21,0)</f>
        <v>0.00813308687615527</v>
      </c>
      <c r="F15" s="30" t="n">
        <v>0</v>
      </c>
      <c r="G15" s="50" t="n">
        <f aca="false">ROUND(D15*(1+$B$4),0)+F15</f>
        <v>24</v>
      </c>
      <c r="H15" s="35" t="n">
        <v>89.24</v>
      </c>
      <c r="I15" s="52" t="n">
        <f aca="false">G15*H15</f>
        <v>2141.76</v>
      </c>
      <c r="J15" s="53" t="n">
        <f aca="false">Premissas!$C$18</f>
        <v>44.3</v>
      </c>
      <c r="K15" s="54" t="n">
        <f aca="false">H15*(1-Premissas!$C$19)*(1-$D$4)*(1-Premissas!$C$20)-J15</f>
        <v>44.94</v>
      </c>
      <c r="L15" s="52" t="n">
        <f aca="false">G15*K15</f>
        <v>1078.56</v>
      </c>
      <c r="M15" s="50" t="n">
        <f aca="false">SUMIFS('Log diário'!$D:$D,'Log diário'!$B:$B,$B$2,'Log diário'!$C:$C,$A15)</f>
        <v>1</v>
      </c>
      <c r="N15" s="52" t="n">
        <f aca="false">SUMIFS('Log diário'!$E:$E,'Log diário'!$B:$B,$B$2,'Log diário'!$C:$C,$A15)</f>
        <v>89.24</v>
      </c>
      <c r="O15" s="50" t="n">
        <f aca="false">G15*Premissas!$C$10</f>
        <v>2.32258064516129</v>
      </c>
      <c r="P15" s="55" t="n">
        <f aca="false">IFERROR(M15/O15,0)</f>
        <v>0.430555555555556</v>
      </c>
      <c r="Q15" s="50" t="n">
        <f aca="false">IFERROR(M15/Premissas!$C$8*Premissas!$C$7,0)</f>
        <v>10.3333333333333</v>
      </c>
      <c r="R15" s="50" t="n">
        <f aca="false">Q15-G15</f>
        <v>-13.6666666666667</v>
      </c>
      <c r="S15" s="56" t="n">
        <f aca="false">IFERROR(MAX(0,G15-M15)/Premissas!$C$9,0)</f>
        <v>0.821428571428571</v>
      </c>
    </row>
    <row r="16" customFormat="false" ht="15" hidden="false" customHeight="false" outlineLevel="0" collapsed="false">
      <c r="A16" s="11" t="s">
        <v>279</v>
      </c>
      <c r="B16" s="12" t="s">
        <v>280</v>
      </c>
      <c r="C16" s="12" t="s">
        <v>270</v>
      </c>
      <c r="D16" s="50" t="n">
        <v>19</v>
      </c>
      <c r="E16" s="51" t="n">
        <f aca="false">IFERROR(D16/$D$21,0)</f>
        <v>0.00702402957486137</v>
      </c>
      <c r="F16" s="30" t="n">
        <v>0</v>
      </c>
      <c r="G16" s="50" t="n">
        <f aca="false">ROUND(D16*(1+$B$4),0)+F16</f>
        <v>21</v>
      </c>
      <c r="H16" s="35" t="n">
        <v>128.77</v>
      </c>
      <c r="I16" s="52" t="n">
        <f aca="false">G16*H16</f>
        <v>2704.17</v>
      </c>
      <c r="J16" s="53" t="n">
        <f aca="false">Premissas!$C$18</f>
        <v>44.3</v>
      </c>
      <c r="K16" s="54" t="n">
        <f aca="false">H16*(1-Premissas!$C$19)*(1-$D$4)*(1-Premissas!$C$20)-J16</f>
        <v>84.47</v>
      </c>
      <c r="L16" s="52" t="n">
        <f aca="false">G16*K16</f>
        <v>1773.87</v>
      </c>
      <c r="M16" s="50" t="n">
        <f aca="false">SUMIFS('Log diário'!$D:$D,'Log diário'!$B:$B,$B$2,'Log diário'!$C:$C,$A16)</f>
        <v>0</v>
      </c>
      <c r="N16" s="52" t="n">
        <f aca="false">SUMIFS('Log diário'!$E:$E,'Log diário'!$B:$B,$B$2,'Log diário'!$C:$C,$A16)</f>
        <v>0</v>
      </c>
      <c r="O16" s="50" t="n">
        <f aca="false">G16*Premissas!$C$10</f>
        <v>2.03225806451613</v>
      </c>
      <c r="P16" s="55" t="n">
        <f aca="false">IFERROR(M16/O16,0)</f>
        <v>0</v>
      </c>
      <c r="Q16" s="50" t="n">
        <f aca="false">IFERROR(M16/Premissas!$C$8*Premissas!$C$7,0)</f>
        <v>0</v>
      </c>
      <c r="R16" s="50" t="n">
        <f aca="false">Q16-G16</f>
        <v>-21</v>
      </c>
      <c r="S16" s="56" t="n">
        <f aca="false">IFERROR(MAX(0,G16-M16)/Premissas!$C$9,0)</f>
        <v>0.75</v>
      </c>
    </row>
    <row r="17" customFormat="false" ht="15" hidden="false" customHeight="false" outlineLevel="0" collapsed="false">
      <c r="A17" s="11" t="s">
        <v>281</v>
      </c>
      <c r="B17" s="12" t="s">
        <v>282</v>
      </c>
      <c r="C17" s="12" t="s">
        <v>270</v>
      </c>
      <c r="D17" s="50" t="n">
        <v>13</v>
      </c>
      <c r="E17" s="51" t="n">
        <f aca="false">IFERROR(D17/$D$21,0)</f>
        <v>0.00480591497227357</v>
      </c>
      <c r="F17" s="30" t="n">
        <v>0</v>
      </c>
      <c r="G17" s="50" t="n">
        <f aca="false">ROUND(D17*(1+$B$4),0)+F17</f>
        <v>14</v>
      </c>
      <c r="H17" s="35" t="n">
        <v>99.68</v>
      </c>
      <c r="I17" s="52" t="n">
        <f aca="false">G17*H17</f>
        <v>1395.52</v>
      </c>
      <c r="J17" s="53" t="n">
        <f aca="false">Premissas!$C$18</f>
        <v>44.3</v>
      </c>
      <c r="K17" s="54" t="n">
        <f aca="false">H17*(1-Premissas!$C$19)*(1-$D$4)*(1-Premissas!$C$20)-J17</f>
        <v>55.38</v>
      </c>
      <c r="L17" s="52" t="n">
        <f aca="false">G17*K17</f>
        <v>775.32</v>
      </c>
      <c r="M17" s="50" t="n">
        <f aca="false">SUMIFS('Log diário'!$D:$D,'Log diário'!$B:$B,$B$2,'Log diário'!$C:$C,$A17)</f>
        <v>1</v>
      </c>
      <c r="N17" s="52" t="n">
        <f aca="false">SUMIFS('Log diário'!$E:$E,'Log diário'!$B:$B,$B$2,'Log diário'!$C:$C,$A17)</f>
        <v>99.68</v>
      </c>
      <c r="O17" s="50" t="n">
        <f aca="false">G17*Premissas!$C$10</f>
        <v>1.35483870967742</v>
      </c>
      <c r="P17" s="55" t="n">
        <f aca="false">IFERROR(M17/O17,0)</f>
        <v>0.738095238095238</v>
      </c>
      <c r="Q17" s="50" t="n">
        <f aca="false">IFERROR(M17/Premissas!$C$8*Premissas!$C$7,0)</f>
        <v>10.3333333333333</v>
      </c>
      <c r="R17" s="50" t="n">
        <f aca="false">Q17-G17</f>
        <v>-3.66666666666667</v>
      </c>
      <c r="S17" s="56" t="n">
        <f aca="false">IFERROR(MAX(0,G17-M17)/Premissas!$C$9,0)</f>
        <v>0.464285714285714</v>
      </c>
    </row>
    <row r="18" customFormat="false" ht="15" hidden="false" customHeight="false" outlineLevel="0" collapsed="false">
      <c r="A18" s="11" t="s">
        <v>283</v>
      </c>
      <c r="B18" s="12" t="s">
        <v>284</v>
      </c>
      <c r="C18" s="12" t="s">
        <v>270</v>
      </c>
      <c r="D18" s="50" t="n">
        <v>9</v>
      </c>
      <c r="E18" s="51" t="n">
        <f aca="false">IFERROR(D18/$D$21,0)</f>
        <v>0.0033271719038817</v>
      </c>
      <c r="F18" s="30" t="n">
        <v>0</v>
      </c>
      <c r="G18" s="50" t="n">
        <f aca="false">ROUND(D18*(1+$B$4),0)+F18</f>
        <v>10</v>
      </c>
      <c r="H18" s="35" t="n">
        <v>100.8</v>
      </c>
      <c r="I18" s="52" t="n">
        <f aca="false">G18*H18</f>
        <v>1008</v>
      </c>
      <c r="J18" s="53" t="n">
        <f aca="false">Premissas!$C$18</f>
        <v>44.3</v>
      </c>
      <c r="K18" s="54" t="n">
        <f aca="false">H18*(1-Premissas!$C$19)*(1-$D$4)*(1-Premissas!$C$20)-J18</f>
        <v>56.5</v>
      </c>
      <c r="L18" s="52" t="n">
        <f aca="false">G18*K18</f>
        <v>565</v>
      </c>
      <c r="M18" s="50" t="n">
        <f aca="false">SUMIFS('Log diário'!$D:$D,'Log diário'!$B:$B,$B$2,'Log diário'!$C:$C,$A18)</f>
        <v>2</v>
      </c>
      <c r="N18" s="52" t="n">
        <f aca="false">SUMIFS('Log diário'!$E:$E,'Log diário'!$B:$B,$B$2,'Log diário'!$C:$C,$A18)</f>
        <v>201.6</v>
      </c>
      <c r="O18" s="50" t="n">
        <f aca="false">G18*Premissas!$C$10</f>
        <v>0.967741935483871</v>
      </c>
      <c r="P18" s="55" t="n">
        <f aca="false">IFERROR(M18/O18,0)</f>
        <v>2.06666666666667</v>
      </c>
      <c r="Q18" s="50" t="n">
        <f aca="false">IFERROR(M18/Premissas!$C$8*Premissas!$C$7,0)</f>
        <v>20.6666666666667</v>
      </c>
      <c r="R18" s="50" t="n">
        <f aca="false">Q18-G18</f>
        <v>10.6666666666667</v>
      </c>
      <c r="S18" s="56" t="n">
        <f aca="false">IFERROR(MAX(0,G18-M18)/Premissas!$C$9,0)</f>
        <v>0.285714285714286</v>
      </c>
    </row>
    <row r="19" customFormat="false" ht="15" hidden="false" customHeight="false" outlineLevel="0" collapsed="false">
      <c r="A19" s="11" t="s">
        <v>285</v>
      </c>
      <c r="B19" s="12" t="s">
        <v>286</v>
      </c>
      <c r="C19" s="12" t="s">
        <v>270</v>
      </c>
      <c r="D19" s="50" t="n">
        <v>8</v>
      </c>
      <c r="E19" s="51" t="n">
        <f aca="false">IFERROR(D19/$D$21,0)</f>
        <v>0.00295748613678373</v>
      </c>
      <c r="F19" s="30" t="n">
        <v>0</v>
      </c>
      <c r="G19" s="50" t="n">
        <f aca="false">ROUND(D19*(1+$B$4),0)+F19</f>
        <v>9</v>
      </c>
      <c r="H19" s="35" t="n">
        <v>89.05</v>
      </c>
      <c r="I19" s="52" t="n">
        <f aca="false">G19*H19</f>
        <v>801.45</v>
      </c>
      <c r="J19" s="53" t="n">
        <f aca="false">Premissas!$C$18</f>
        <v>44.3</v>
      </c>
      <c r="K19" s="54" t="n">
        <f aca="false">H19*(1-Premissas!$C$19)*(1-$D$4)*(1-Premissas!$C$20)-J19</f>
        <v>44.75</v>
      </c>
      <c r="L19" s="52" t="n">
        <f aca="false">G19*K19</f>
        <v>402.75</v>
      </c>
      <c r="M19" s="50" t="n">
        <f aca="false">SUMIFS('Log diário'!$D:$D,'Log diário'!$B:$B,$B$2,'Log diário'!$C:$C,$A19)</f>
        <v>3</v>
      </c>
      <c r="N19" s="52" t="n">
        <f aca="false">SUMIFS('Log diário'!$E:$E,'Log diário'!$B:$B,$B$2,'Log diário'!$C:$C,$A19)</f>
        <v>267.15</v>
      </c>
      <c r="O19" s="50" t="n">
        <f aca="false">G19*Premissas!$C$10</f>
        <v>0.870967741935484</v>
      </c>
      <c r="P19" s="55" t="n">
        <f aca="false">IFERROR(M19/O19,0)</f>
        <v>3.44444444444444</v>
      </c>
      <c r="Q19" s="50" t="n">
        <f aca="false">IFERROR(M19/Premissas!$C$8*Premissas!$C$7,0)</f>
        <v>31</v>
      </c>
      <c r="R19" s="50" t="n">
        <f aca="false">Q19-G19</f>
        <v>22</v>
      </c>
      <c r="S19" s="56" t="n">
        <f aca="false">IFERROR(MAX(0,G19-M19)/Premissas!$C$9,0)</f>
        <v>0.214285714285714</v>
      </c>
    </row>
    <row r="20" customFormat="false" ht="15" hidden="false" customHeight="false" outlineLevel="0" collapsed="false">
      <c r="A20" s="11" t="s">
        <v>287</v>
      </c>
      <c r="B20" s="12" t="s">
        <v>288</v>
      </c>
      <c r="C20" s="12" t="s">
        <v>46</v>
      </c>
      <c r="D20" s="50" t="n">
        <v>32</v>
      </c>
      <c r="E20" s="51" t="n">
        <f aca="false">IFERROR(D20/$D$21,0)</f>
        <v>0.0118299445471349</v>
      </c>
      <c r="F20" s="30" t="n">
        <v>0</v>
      </c>
      <c r="G20" s="50" t="n">
        <f aca="false">ROUND(D20*(1+$B$4),0)+F20</f>
        <v>35</v>
      </c>
      <c r="H20" s="35" t="n">
        <v>74.6</v>
      </c>
      <c r="I20" s="52" t="n">
        <f aca="false">G20*H20</f>
        <v>2611</v>
      </c>
      <c r="J20" s="53" t="n">
        <f aca="false">Premissas!$C$18</f>
        <v>44.3</v>
      </c>
      <c r="K20" s="54" t="n">
        <f aca="false">H20*(1-Premissas!$C$19)*(1-$D$4)*(1-Premissas!$C$20)-J20</f>
        <v>30.3</v>
      </c>
      <c r="L20" s="52" t="n">
        <f aca="false">G20*K20</f>
        <v>1060.5</v>
      </c>
      <c r="M20" s="50" t="n">
        <f aca="false">SUMIFS('Log diário'!$D:$D,'Log diário'!$B:$B,$B$2,'Log diário'!$C:$C,$A20)</f>
        <v>3</v>
      </c>
      <c r="N20" s="52" t="n">
        <f aca="false">SUMIFS('Log diário'!$E:$E,'Log diário'!$B:$B,$B$2,'Log diário'!$C:$C,$A20)</f>
        <v>223.8</v>
      </c>
      <c r="O20" s="50" t="n">
        <f aca="false">G20*Premissas!$C$10</f>
        <v>3.38709677419355</v>
      </c>
      <c r="P20" s="55" t="n">
        <f aca="false">IFERROR(M20/O20,0)</f>
        <v>0.885714285714286</v>
      </c>
      <c r="Q20" s="50" t="n">
        <f aca="false">IFERROR(M20/Premissas!$C$8*Premissas!$C$7,0)</f>
        <v>31</v>
      </c>
      <c r="R20" s="50" t="n">
        <f aca="false">Q20-G20</f>
        <v>-4</v>
      </c>
      <c r="S20" s="56" t="n">
        <f aca="false">IFERROR(MAX(0,G20-M20)/Premissas!$C$9,0)</f>
        <v>1.14285714285714</v>
      </c>
    </row>
    <row r="21" customFormat="false" ht="15" hidden="false" customHeight="false" outlineLevel="0" collapsed="false">
      <c r="A21" s="19" t="s">
        <v>289</v>
      </c>
      <c r="B21" s="19"/>
      <c r="C21" s="19"/>
      <c r="D21" s="20" t="n">
        <f aca="false">SUM(D8:D20)</f>
        <v>2705</v>
      </c>
      <c r="E21" s="23" t="n">
        <f aca="false">SUM(E8:E20)</f>
        <v>1</v>
      </c>
      <c r="F21" s="20" t="n">
        <f aca="false">SUM(F8:F20)</f>
        <v>0</v>
      </c>
      <c r="G21" s="20" t="n">
        <f aca="false">SUM(G8:G20)</f>
        <v>2977</v>
      </c>
      <c r="H21" s="57"/>
      <c r="I21" s="21" t="n">
        <f aca="false">SUM(I8:I20)</f>
        <v>222091.73</v>
      </c>
      <c r="J21" s="57"/>
      <c r="K21" s="57"/>
      <c r="L21" s="21" t="n">
        <f aca="false">SUM(L8:L20)</f>
        <v>90210.63</v>
      </c>
      <c r="M21" s="20" t="n">
        <f aca="false">SUM(M8:M20)</f>
        <v>219</v>
      </c>
      <c r="N21" s="21" t="n">
        <f aca="false">SUM(N8:N20)</f>
        <v>16399.4</v>
      </c>
      <c r="O21" s="20" t="n">
        <f aca="false">SUM(O8:O20)</f>
        <v>288.096774193548</v>
      </c>
      <c r="P21" s="22" t="n">
        <f aca="false">IFERROR(M21/O21,0)</f>
        <v>0.760161236143769</v>
      </c>
      <c r="Q21" s="20" t="n">
        <f aca="false">SUM(Q8:Q20)</f>
        <v>2263</v>
      </c>
      <c r="R21" s="20" t="n">
        <f aca="false">SUM(R8:R20)</f>
        <v>-714</v>
      </c>
      <c r="S21" s="58" t="n">
        <f aca="false">SUM(S8:S20)</f>
        <v>98.5</v>
      </c>
    </row>
    <row r="22" customFormat="false" ht="15" hidden="false" customHeight="false" outlineLevel="0" collapsed="false">
      <c r="A22" s="11" t="s">
        <v>290</v>
      </c>
      <c r="B22" s="12"/>
      <c r="C22" s="12"/>
      <c r="D22" s="50" t="n">
        <f aca="false">SUMIFS(D8:D20,$C$8:$C$20,"H")</f>
        <v>2423</v>
      </c>
      <c r="E22" s="12"/>
      <c r="F22" s="12"/>
      <c r="G22" s="50" t="n">
        <f aca="false">SUMIFS(G8:G20,$C$8:$C$20,"H")</f>
        <v>2666</v>
      </c>
      <c r="H22" s="12"/>
      <c r="I22" s="12"/>
      <c r="J22" s="12"/>
      <c r="K22" s="12"/>
      <c r="L22" s="52" t="n">
        <f aca="false">SUMIFS(L8:L20,$C$8:$C$20,"H")</f>
        <v>76735.4</v>
      </c>
    </row>
    <row r="23" customFormat="false" ht="15" hidden="false" customHeight="false" outlineLevel="0" collapsed="false">
      <c r="A23" s="11" t="s">
        <v>291</v>
      </c>
      <c r="B23" s="12"/>
      <c r="C23" s="12"/>
      <c r="D23" s="50" t="n">
        <f aca="false">SUMIFS(D8:D20,$C$8:$C$20,"E")</f>
        <v>250</v>
      </c>
      <c r="E23" s="12"/>
      <c r="F23" s="12"/>
      <c r="G23" s="50" t="n">
        <f aca="false">SUMIFS(G8:G20,$C$8:$C$20,"E")</f>
        <v>276</v>
      </c>
      <c r="H23" s="12"/>
      <c r="I23" s="12"/>
      <c r="J23" s="12"/>
      <c r="K23" s="12"/>
      <c r="L23" s="52" t="n">
        <f aca="false">SUMIFS(L8:L20,$C$8:$C$20,"E")</f>
        <v>12414.73</v>
      </c>
    </row>
    <row r="25" customFormat="false" ht="15" hidden="false" customHeight="false" outlineLevel="0" collapsed="false">
      <c r="A25" s="9" t="s">
        <v>292</v>
      </c>
    </row>
    <row r="26" customFormat="false" ht="15" hidden="false" customHeight="false" outlineLevel="0" collapsed="false">
      <c r="A26" s="9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5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5" min="14" style="0" width="13"/>
    <col collapsed="false" customWidth="true" hidden="false" outlineLevel="0" max="16" min="16" style="0" width="11"/>
    <col collapsed="false" customWidth="true" hidden="false" outlineLevel="0" max="18" min="17" style="0" width="12"/>
    <col collapsed="false" customWidth="true" hidden="false" outlineLevel="0" max="19" min="19" style="0" width="14"/>
  </cols>
  <sheetData>
    <row r="1" customFormat="false" ht="16.15" hidden="false" customHeight="false" outlineLevel="0" collapsed="false">
      <c r="A1" s="1" t="s">
        <v>294</v>
      </c>
    </row>
    <row r="2" customFormat="false" ht="15" hidden="false" customHeight="false" outlineLevel="0" collapsed="false">
      <c r="A2" s="3" t="s">
        <v>241</v>
      </c>
      <c r="B2" s="27" t="s">
        <v>114</v>
      </c>
      <c r="C2" s="3" t="s">
        <v>242</v>
      </c>
      <c r="D2" s="27" t="s">
        <v>115</v>
      </c>
      <c r="F2" s="3" t="s">
        <v>243</v>
      </c>
      <c r="G2" s="27" t="s">
        <v>112</v>
      </c>
      <c r="I2" s="3" t="s">
        <v>244</v>
      </c>
      <c r="K2" s="27" t="s">
        <v>113</v>
      </c>
    </row>
    <row r="3" customFormat="false" ht="15" hidden="false" customHeight="false" outlineLevel="0" collapsed="false">
      <c r="A3" s="3" t="s">
        <v>245</v>
      </c>
      <c r="B3" s="27" t="s">
        <v>295</v>
      </c>
    </row>
    <row r="4" customFormat="false" ht="15" hidden="false" customHeight="false" outlineLevel="0" collapsed="false">
      <c r="A4" s="3" t="s">
        <v>247</v>
      </c>
      <c r="B4" s="45" t="n">
        <f aca="false">Premissas!$C$26</f>
        <v>0.3</v>
      </c>
      <c r="C4" s="3" t="s">
        <v>248</v>
      </c>
      <c r="D4" s="45" t="n">
        <f aca="false">Premissas!$D$26</f>
        <v>0</v>
      </c>
      <c r="F4" s="3" t="s">
        <v>249</v>
      </c>
      <c r="G4" s="46" t="n">
        <f aca="false">Premissas!$C$18</f>
        <v>44.3</v>
      </c>
    </row>
    <row r="5" customFormat="false" ht="15" hidden="false" customHeight="false" outlineLevel="0" collapsed="false">
      <c r="A5" s="3" t="s">
        <v>250</v>
      </c>
      <c r="B5" s="47" t="n">
        <f aca="false">G23</f>
        <v>1920</v>
      </c>
      <c r="C5" s="3" t="s">
        <v>251</v>
      </c>
      <c r="D5" s="48" t="n">
        <f aca="false">I23</f>
        <v>180786.1</v>
      </c>
      <c r="F5" s="3" t="s">
        <v>252</v>
      </c>
      <c r="G5" s="48" t="n">
        <f aca="false">L23</f>
        <v>95730.1</v>
      </c>
      <c r="I5" s="3" t="s">
        <v>253</v>
      </c>
      <c r="K5" s="49" t="n">
        <f aca="false">P23</f>
        <v>0.0753472222222222</v>
      </c>
    </row>
    <row r="7" customFormat="false" ht="30" hidden="false" customHeight="true" outlineLevel="0" collapsed="false">
      <c r="A7" s="10" t="s">
        <v>254</v>
      </c>
      <c r="B7" s="10" t="s">
        <v>255</v>
      </c>
      <c r="C7" s="10" t="s">
        <v>256</v>
      </c>
      <c r="D7" s="10" t="s">
        <v>101</v>
      </c>
      <c r="E7" s="10" t="s">
        <v>257</v>
      </c>
      <c r="F7" s="10" t="s">
        <v>258</v>
      </c>
      <c r="G7" s="10" t="s">
        <v>102</v>
      </c>
      <c r="H7" s="10" t="s">
        <v>39</v>
      </c>
      <c r="I7" s="10" t="s">
        <v>103</v>
      </c>
      <c r="J7" s="10" t="s">
        <v>42</v>
      </c>
      <c r="K7" s="10" t="s">
        <v>259</v>
      </c>
      <c r="L7" s="10" t="s">
        <v>104</v>
      </c>
      <c r="M7" s="10" t="s">
        <v>105</v>
      </c>
      <c r="N7" s="10" t="s">
        <v>56</v>
      </c>
      <c r="O7" s="10" t="s">
        <v>60</v>
      </c>
      <c r="P7" s="10" t="s">
        <v>106</v>
      </c>
      <c r="Q7" s="10" t="s">
        <v>64</v>
      </c>
      <c r="R7" s="10" t="s">
        <v>108</v>
      </c>
      <c r="S7" s="10" t="s">
        <v>260</v>
      </c>
    </row>
    <row r="8" customFormat="false" ht="15" hidden="false" customHeight="false" outlineLevel="0" collapsed="false">
      <c r="A8" s="11" t="s">
        <v>261</v>
      </c>
      <c r="B8" s="12" t="s">
        <v>262</v>
      </c>
      <c r="C8" s="12" t="s">
        <v>263</v>
      </c>
      <c r="D8" s="50" t="n">
        <v>715</v>
      </c>
      <c r="E8" s="51" t="n">
        <f aca="false">IFERROR(D8/$D$23,0)</f>
        <v>0.484745762711864</v>
      </c>
      <c r="F8" s="30" t="n">
        <v>0</v>
      </c>
      <c r="G8" s="50" t="n">
        <f aca="false">ROUND(D8*(1+$B$4),0)+F8</f>
        <v>930</v>
      </c>
      <c r="H8" s="35" t="n">
        <v>93</v>
      </c>
      <c r="I8" s="52" t="n">
        <f aca="false">G8*H8</f>
        <v>86490</v>
      </c>
      <c r="J8" s="53" t="n">
        <f aca="false">Premissas!$C$18</f>
        <v>44.3</v>
      </c>
      <c r="K8" s="54" t="n">
        <f aca="false">H8*(1-Premissas!$C$19)*(1-$D$4)*(1-Premissas!$C$20)-J8</f>
        <v>48.7</v>
      </c>
      <c r="L8" s="52" t="n">
        <f aca="false">G8*K8</f>
        <v>45291</v>
      </c>
      <c r="M8" s="50" t="n">
        <f aca="false">SUMIFS('Log diário'!$D:$D,'Log diário'!$B:$B,$B$2,'Log diário'!$C:$C,$A8)</f>
        <v>5</v>
      </c>
      <c r="N8" s="52" t="n">
        <f aca="false">SUMIFS('Log diário'!$E:$E,'Log diário'!$B:$B,$B$2,'Log diário'!$C:$C,$A8)</f>
        <v>465</v>
      </c>
      <c r="O8" s="50" t="n">
        <f aca="false">G8*Premissas!$C$10</f>
        <v>90</v>
      </c>
      <c r="P8" s="55" t="n">
        <f aca="false">IFERROR(M8/O8,0)</f>
        <v>0.0555555555555556</v>
      </c>
      <c r="Q8" s="50" t="n">
        <f aca="false">IFERROR(M8/Premissas!$C$8*Premissas!$C$7,0)</f>
        <v>51.6666666666667</v>
      </c>
      <c r="R8" s="50" t="n">
        <f aca="false">Q8-G8</f>
        <v>-878.333333333333</v>
      </c>
      <c r="S8" s="56" t="n">
        <f aca="false">IFERROR(MAX(0,G8-M8)/Premissas!$C$9,0)</f>
        <v>33.0357142857143</v>
      </c>
    </row>
    <row r="9" customFormat="false" ht="15" hidden="false" customHeight="false" outlineLevel="0" collapsed="false">
      <c r="A9" s="11" t="s">
        <v>266</v>
      </c>
      <c r="B9" s="12" t="s">
        <v>267</v>
      </c>
      <c r="C9" s="12" t="s">
        <v>263</v>
      </c>
      <c r="D9" s="50" t="n">
        <v>183</v>
      </c>
      <c r="E9" s="51" t="n">
        <f aca="false">IFERROR(D9/$D$23,0)</f>
        <v>0.124067796610169</v>
      </c>
      <c r="F9" s="30" t="n">
        <v>0</v>
      </c>
      <c r="G9" s="50" t="n">
        <f aca="false">ROUND(D9*(1+$B$4),0)+F9</f>
        <v>238</v>
      </c>
      <c r="H9" s="35" t="n">
        <v>93.74</v>
      </c>
      <c r="I9" s="52" t="n">
        <f aca="false">G9*H9</f>
        <v>22310.12</v>
      </c>
      <c r="J9" s="53" t="n">
        <f aca="false">Premissas!$C$18</f>
        <v>44.3</v>
      </c>
      <c r="K9" s="54" t="n">
        <f aca="false">H9*(1-Premissas!$C$19)*(1-$D$4)*(1-Premissas!$C$20)-J9</f>
        <v>49.44</v>
      </c>
      <c r="L9" s="52" t="n">
        <f aca="false">G9*K9</f>
        <v>11766.72</v>
      </c>
      <c r="M9" s="50" t="n">
        <f aca="false">SUMIFS('Log diário'!$D:$D,'Log diário'!$B:$B,$B$2,'Log diário'!$C:$C,$A9)</f>
        <v>3</v>
      </c>
      <c r="N9" s="52" t="n">
        <f aca="false">SUMIFS('Log diário'!$E:$E,'Log diário'!$B:$B,$B$2,'Log diário'!$C:$C,$A9)</f>
        <v>281.22</v>
      </c>
      <c r="O9" s="50" t="n">
        <f aca="false">G9*Premissas!$C$10</f>
        <v>23.0322580645161</v>
      </c>
      <c r="P9" s="55" t="n">
        <f aca="false">IFERROR(M9/O9,0)</f>
        <v>0.130252100840336</v>
      </c>
      <c r="Q9" s="50" t="n">
        <f aca="false">IFERROR(M9/Premissas!$C$8*Premissas!$C$7,0)</f>
        <v>31</v>
      </c>
      <c r="R9" s="50" t="n">
        <f aca="false">Q9-G9</f>
        <v>-207</v>
      </c>
      <c r="S9" s="56" t="n">
        <f aca="false">IFERROR(MAX(0,G9-M9)/Premissas!$C$9,0)</f>
        <v>8.39285714285714</v>
      </c>
    </row>
    <row r="10" customFormat="false" ht="15" hidden="false" customHeight="false" outlineLevel="0" collapsed="false">
      <c r="A10" s="11" t="s">
        <v>264</v>
      </c>
      <c r="B10" s="12" t="s">
        <v>265</v>
      </c>
      <c r="C10" s="12" t="s">
        <v>263</v>
      </c>
      <c r="D10" s="50" t="n">
        <v>139</v>
      </c>
      <c r="E10" s="51" t="n">
        <f aca="false">IFERROR(D10/$D$23,0)</f>
        <v>0.0942372881355932</v>
      </c>
      <c r="F10" s="30" t="n">
        <v>0</v>
      </c>
      <c r="G10" s="50" t="n">
        <f aca="false">ROUND(D10*(1+$B$4),0)+F10</f>
        <v>181</v>
      </c>
      <c r="H10" s="35" t="n">
        <v>98.27</v>
      </c>
      <c r="I10" s="52" t="n">
        <f aca="false">G10*H10</f>
        <v>17786.87</v>
      </c>
      <c r="J10" s="53" t="n">
        <f aca="false">Premissas!$C$18</f>
        <v>44.3</v>
      </c>
      <c r="K10" s="54" t="n">
        <f aca="false">H10*(1-Premissas!$C$19)*(1-$D$4)*(1-Premissas!$C$20)-J10</f>
        <v>53.97</v>
      </c>
      <c r="L10" s="52" t="n">
        <f aca="false">G10*K10</f>
        <v>9768.57</v>
      </c>
      <c r="M10" s="50" t="n">
        <f aca="false">SUMIFS('Log diário'!$D:$D,'Log diário'!$B:$B,$B$2,'Log diário'!$C:$C,$A10)</f>
        <v>1</v>
      </c>
      <c r="N10" s="52" t="n">
        <f aca="false">SUMIFS('Log diário'!$E:$E,'Log diário'!$B:$B,$B$2,'Log diário'!$C:$C,$A10)</f>
        <v>98.27</v>
      </c>
      <c r="O10" s="50" t="n">
        <f aca="false">G10*Premissas!$C$10</f>
        <v>17.5161290322581</v>
      </c>
      <c r="P10" s="55" t="n">
        <f aca="false">IFERROR(M10/O10,0)</f>
        <v>0.0570902394106814</v>
      </c>
      <c r="Q10" s="50" t="n">
        <f aca="false">IFERROR(M10/Premissas!$C$8*Premissas!$C$7,0)</f>
        <v>10.3333333333333</v>
      </c>
      <c r="R10" s="50" t="n">
        <f aca="false">Q10-G10</f>
        <v>-170.666666666667</v>
      </c>
      <c r="S10" s="56" t="n">
        <f aca="false">IFERROR(MAX(0,G10-M10)/Premissas!$C$9,0)</f>
        <v>6.42857142857143</v>
      </c>
    </row>
    <row r="11" customFormat="false" ht="15" hidden="false" customHeight="false" outlineLevel="0" collapsed="false">
      <c r="A11" s="11" t="s">
        <v>277</v>
      </c>
      <c r="B11" s="12" t="s">
        <v>278</v>
      </c>
      <c r="C11" s="12" t="s">
        <v>270</v>
      </c>
      <c r="D11" s="50" t="n">
        <v>127</v>
      </c>
      <c r="E11" s="51" t="n">
        <f aca="false">IFERROR(D11/$D$23,0)</f>
        <v>0.0861016949152542</v>
      </c>
      <c r="F11" s="30" t="n">
        <v>0</v>
      </c>
      <c r="G11" s="50" t="n">
        <f aca="false">ROUND(D11*(1+$B$4),0)+F11</f>
        <v>165</v>
      </c>
      <c r="H11" s="35" t="n">
        <v>95.76</v>
      </c>
      <c r="I11" s="52" t="n">
        <f aca="false">G11*H11</f>
        <v>15800.4</v>
      </c>
      <c r="J11" s="53" t="n">
        <f aca="false">Premissas!$C$18</f>
        <v>44.3</v>
      </c>
      <c r="K11" s="54" t="n">
        <f aca="false">H11*(1-Premissas!$C$19)*(1-$D$4)*(1-Premissas!$C$20)-J11</f>
        <v>51.46</v>
      </c>
      <c r="L11" s="52" t="n">
        <f aca="false">G11*K11</f>
        <v>8490.9</v>
      </c>
      <c r="M11" s="50" t="n">
        <f aca="false">SUMIFS('Log diário'!$D:$D,'Log diário'!$B:$B,$B$2,'Log diário'!$C:$C,$A11)</f>
        <v>1</v>
      </c>
      <c r="N11" s="52" t="n">
        <f aca="false">SUMIFS('Log diário'!$E:$E,'Log diário'!$B:$B,$B$2,'Log diário'!$C:$C,$A11)</f>
        <v>95.76</v>
      </c>
      <c r="O11" s="50" t="n">
        <f aca="false">G11*Premissas!$C$10</f>
        <v>15.9677419354839</v>
      </c>
      <c r="P11" s="55" t="n">
        <f aca="false">IFERROR(M11/O11,0)</f>
        <v>0.0626262626262626</v>
      </c>
      <c r="Q11" s="50" t="n">
        <f aca="false">IFERROR(M11/Premissas!$C$8*Premissas!$C$7,0)</f>
        <v>10.3333333333333</v>
      </c>
      <c r="R11" s="50" t="n">
        <f aca="false">Q11-G11</f>
        <v>-154.666666666667</v>
      </c>
      <c r="S11" s="56" t="n">
        <f aca="false">IFERROR(MAX(0,G11-M11)/Premissas!$C$9,0)</f>
        <v>5.85714285714286</v>
      </c>
    </row>
    <row r="12" customFormat="false" ht="15" hidden="false" customHeight="false" outlineLevel="0" collapsed="false">
      <c r="A12" s="11" t="s">
        <v>273</v>
      </c>
      <c r="B12" s="12" t="s">
        <v>274</v>
      </c>
      <c r="C12" s="12" t="s">
        <v>270</v>
      </c>
      <c r="D12" s="50" t="n">
        <v>83</v>
      </c>
      <c r="E12" s="51" t="n">
        <f aca="false">IFERROR(D12/$D$23,0)</f>
        <v>0.056271186440678</v>
      </c>
      <c r="F12" s="30" t="n">
        <v>0</v>
      </c>
      <c r="G12" s="50" t="n">
        <f aca="false">ROUND(D12*(1+$B$4),0)+F12</f>
        <v>108</v>
      </c>
      <c r="H12" s="35" t="n">
        <v>98.44</v>
      </c>
      <c r="I12" s="52" t="n">
        <f aca="false">G12*H12</f>
        <v>10631.52</v>
      </c>
      <c r="J12" s="53" t="n">
        <f aca="false">Premissas!$C$18</f>
        <v>44.3</v>
      </c>
      <c r="K12" s="54" t="n">
        <f aca="false">H12*(1-Premissas!$C$19)*(1-$D$4)*(1-Premissas!$C$20)-J12</f>
        <v>54.14</v>
      </c>
      <c r="L12" s="52" t="n">
        <f aca="false">G12*K12</f>
        <v>5847.12</v>
      </c>
      <c r="M12" s="50" t="n">
        <f aca="false">SUMIFS('Log diário'!$D:$D,'Log diário'!$B:$B,$B$2,'Log diário'!$C:$C,$A12)</f>
        <v>0</v>
      </c>
      <c r="N12" s="52" t="n">
        <f aca="false">SUMIFS('Log diário'!$E:$E,'Log diário'!$B:$B,$B$2,'Log diário'!$C:$C,$A12)</f>
        <v>0</v>
      </c>
      <c r="O12" s="50" t="n">
        <f aca="false">G12*Premissas!$C$10</f>
        <v>10.4516129032258</v>
      </c>
      <c r="P12" s="55" t="n">
        <f aca="false">IFERROR(M12/O12,0)</f>
        <v>0</v>
      </c>
      <c r="Q12" s="50" t="n">
        <f aca="false">IFERROR(M12/Premissas!$C$8*Premissas!$C$7,0)</f>
        <v>0</v>
      </c>
      <c r="R12" s="50" t="n">
        <f aca="false">Q12-G12</f>
        <v>-108</v>
      </c>
      <c r="S12" s="56" t="n">
        <f aca="false">IFERROR(MAX(0,G12-M12)/Premissas!$C$9,0)</f>
        <v>3.85714285714286</v>
      </c>
    </row>
    <row r="13" customFormat="false" ht="15" hidden="false" customHeight="false" outlineLevel="0" collapsed="false">
      <c r="A13" s="11" t="s">
        <v>281</v>
      </c>
      <c r="B13" s="12" t="s">
        <v>282</v>
      </c>
      <c r="C13" s="12" t="s">
        <v>270</v>
      </c>
      <c r="D13" s="50" t="n">
        <v>45</v>
      </c>
      <c r="E13" s="51" t="n">
        <f aca="false">IFERROR(D13/$D$23,0)</f>
        <v>0.0305084745762712</v>
      </c>
      <c r="F13" s="30" t="n">
        <v>0</v>
      </c>
      <c r="G13" s="50" t="n">
        <f aca="false">ROUND(D13*(1+$B$4),0)+F13</f>
        <v>59</v>
      </c>
      <c r="H13" s="35" t="n">
        <v>97.23</v>
      </c>
      <c r="I13" s="52" t="n">
        <f aca="false">G13*H13</f>
        <v>5736.57</v>
      </c>
      <c r="J13" s="53" t="n">
        <f aca="false">Premissas!$C$18</f>
        <v>44.3</v>
      </c>
      <c r="K13" s="54" t="n">
        <f aca="false">H13*(1-Premissas!$C$19)*(1-$D$4)*(1-Premissas!$C$20)-J13</f>
        <v>52.93</v>
      </c>
      <c r="L13" s="52" t="n">
        <f aca="false">G13*K13</f>
        <v>3122.87</v>
      </c>
      <c r="M13" s="50" t="n">
        <f aca="false">SUMIFS('Log diário'!$D:$D,'Log diário'!$B:$B,$B$2,'Log diário'!$C:$C,$A13)</f>
        <v>1</v>
      </c>
      <c r="N13" s="52" t="n">
        <f aca="false">SUMIFS('Log diário'!$E:$E,'Log diário'!$B:$B,$B$2,'Log diário'!$C:$C,$A13)</f>
        <v>97.23</v>
      </c>
      <c r="O13" s="50" t="n">
        <f aca="false">G13*Premissas!$C$10</f>
        <v>5.70967741935484</v>
      </c>
      <c r="P13" s="55" t="n">
        <f aca="false">IFERROR(M13/O13,0)</f>
        <v>0.175141242937853</v>
      </c>
      <c r="Q13" s="50" t="n">
        <f aca="false">IFERROR(M13/Premissas!$C$8*Premissas!$C$7,0)</f>
        <v>10.3333333333333</v>
      </c>
      <c r="R13" s="50" t="n">
        <f aca="false">Q13-G13</f>
        <v>-48.6666666666667</v>
      </c>
      <c r="S13" s="56" t="n">
        <f aca="false">IFERROR(MAX(0,G13-M13)/Premissas!$C$9,0)</f>
        <v>2.07142857142857</v>
      </c>
    </row>
    <row r="14" customFormat="false" ht="15" hidden="false" customHeight="false" outlineLevel="0" collapsed="false">
      <c r="A14" s="11" t="s">
        <v>296</v>
      </c>
      <c r="B14" s="12" t="s">
        <v>297</v>
      </c>
      <c r="C14" s="12" t="s">
        <v>270</v>
      </c>
      <c r="D14" s="50" t="n">
        <v>26</v>
      </c>
      <c r="E14" s="51" t="n">
        <f aca="false">IFERROR(D14/$D$23,0)</f>
        <v>0.0176271186440678</v>
      </c>
      <c r="F14" s="30" t="n">
        <v>0</v>
      </c>
      <c r="G14" s="50" t="n">
        <f aca="false">ROUND(D14*(1+$B$4),0)+F14</f>
        <v>34</v>
      </c>
      <c r="H14" s="35" t="n">
        <v>76.3</v>
      </c>
      <c r="I14" s="52" t="n">
        <f aca="false">G14*H14</f>
        <v>2594.2</v>
      </c>
      <c r="J14" s="53" t="n">
        <f aca="false">Premissas!$C$18</f>
        <v>44.3</v>
      </c>
      <c r="K14" s="54" t="n">
        <f aca="false">H14*(1-Premissas!$C$19)*(1-$D$4)*(1-Premissas!$C$20)-J14</f>
        <v>32</v>
      </c>
      <c r="L14" s="52" t="n">
        <f aca="false">G14*K14</f>
        <v>1088</v>
      </c>
      <c r="M14" s="50" t="n">
        <f aca="false">SUMIFS('Log diário'!$D:$D,'Log diário'!$B:$B,$B$2,'Log diário'!$C:$C,$A14)</f>
        <v>1</v>
      </c>
      <c r="N14" s="52" t="n">
        <f aca="false">SUMIFS('Log diário'!$E:$E,'Log diário'!$B:$B,$B$2,'Log diário'!$C:$C,$A14)</f>
        <v>76.3</v>
      </c>
      <c r="O14" s="50" t="n">
        <f aca="false">G14*Premissas!$C$10</f>
        <v>3.29032258064516</v>
      </c>
      <c r="P14" s="55" t="n">
        <f aca="false">IFERROR(M14/O14,0)</f>
        <v>0.303921568627451</v>
      </c>
      <c r="Q14" s="50" t="n">
        <f aca="false">IFERROR(M14/Premissas!$C$8*Premissas!$C$7,0)</f>
        <v>10.3333333333333</v>
      </c>
      <c r="R14" s="50" t="n">
        <f aca="false">Q14-G14</f>
        <v>-23.6666666666667</v>
      </c>
      <c r="S14" s="56" t="n">
        <f aca="false">IFERROR(MAX(0,G14-M14)/Premissas!$C$9,0)</f>
        <v>1.17857142857143</v>
      </c>
    </row>
    <row r="15" customFormat="false" ht="15" hidden="false" customHeight="false" outlineLevel="0" collapsed="false">
      <c r="A15" s="11" t="s">
        <v>298</v>
      </c>
      <c r="B15" s="12" t="s">
        <v>299</v>
      </c>
      <c r="C15" s="12" t="s">
        <v>270</v>
      </c>
      <c r="D15" s="50" t="n">
        <v>21</v>
      </c>
      <c r="E15" s="51" t="n">
        <f aca="false">IFERROR(D15/$D$23,0)</f>
        <v>0.0142372881355932</v>
      </c>
      <c r="F15" s="30" t="n">
        <v>0</v>
      </c>
      <c r="G15" s="50" t="n">
        <f aca="false">ROUND(D15*(1+$B$4),0)+F15</f>
        <v>27</v>
      </c>
      <c r="H15" s="35" t="n">
        <v>95.68</v>
      </c>
      <c r="I15" s="52" t="n">
        <f aca="false">G15*H15</f>
        <v>2583.36</v>
      </c>
      <c r="J15" s="53" t="n">
        <f aca="false">Premissas!$C$18</f>
        <v>44.3</v>
      </c>
      <c r="K15" s="54" t="n">
        <f aca="false">H15*(1-Premissas!$C$19)*(1-$D$4)*(1-Premissas!$C$20)-J15</f>
        <v>51.38</v>
      </c>
      <c r="L15" s="52" t="n">
        <f aca="false">G15*K15</f>
        <v>1387.26</v>
      </c>
      <c r="M15" s="50" t="n">
        <f aca="false">SUMIFS('Log diário'!$D:$D,'Log diário'!$B:$B,$B$2,'Log diário'!$C:$C,$A15)</f>
        <v>0</v>
      </c>
      <c r="N15" s="52" t="n">
        <f aca="false">SUMIFS('Log diário'!$E:$E,'Log diário'!$B:$B,$B$2,'Log diário'!$C:$C,$A15)</f>
        <v>0</v>
      </c>
      <c r="O15" s="50" t="n">
        <f aca="false">G15*Premissas!$C$10</f>
        <v>2.61290322580645</v>
      </c>
      <c r="P15" s="55" t="n">
        <f aca="false">IFERROR(M15/O15,0)</f>
        <v>0</v>
      </c>
      <c r="Q15" s="50" t="n">
        <f aca="false">IFERROR(M15/Premissas!$C$8*Premissas!$C$7,0)</f>
        <v>0</v>
      </c>
      <c r="R15" s="50" t="n">
        <f aca="false">Q15-G15</f>
        <v>-27</v>
      </c>
      <c r="S15" s="56" t="n">
        <f aca="false">IFERROR(MAX(0,G15-M15)/Premissas!$C$9,0)</f>
        <v>0.964285714285714</v>
      </c>
    </row>
    <row r="16" customFormat="false" ht="15" hidden="false" customHeight="false" outlineLevel="0" collapsed="false">
      <c r="A16" s="11" t="s">
        <v>300</v>
      </c>
      <c r="B16" s="12" t="s">
        <v>286</v>
      </c>
      <c r="C16" s="12" t="s">
        <v>270</v>
      </c>
      <c r="D16" s="50" t="n">
        <v>20</v>
      </c>
      <c r="E16" s="51" t="n">
        <f aca="false">IFERROR(D16/$D$23,0)</f>
        <v>0.0135593220338983</v>
      </c>
      <c r="F16" s="30" t="n">
        <v>0</v>
      </c>
      <c r="G16" s="50" t="n">
        <f aca="false">ROUND(D16*(1+$B$4),0)+F16</f>
        <v>26</v>
      </c>
      <c r="H16" s="35" t="n">
        <v>75.99</v>
      </c>
      <c r="I16" s="52" t="n">
        <f aca="false">G16*H16</f>
        <v>1975.74</v>
      </c>
      <c r="J16" s="53" t="n">
        <f aca="false">Premissas!$C$18</f>
        <v>44.3</v>
      </c>
      <c r="K16" s="54" t="n">
        <f aca="false">H16*(1-Premissas!$C$19)*(1-$D$4)*(1-Premissas!$C$20)-J16</f>
        <v>31.69</v>
      </c>
      <c r="L16" s="52" t="n">
        <f aca="false">G16*K16</f>
        <v>823.94</v>
      </c>
      <c r="M16" s="50" t="n">
        <f aca="false">SUMIFS('Log diário'!$D:$D,'Log diário'!$B:$B,$B$2,'Log diário'!$C:$C,$A16)</f>
        <v>0</v>
      </c>
      <c r="N16" s="52" t="n">
        <f aca="false">SUMIFS('Log diário'!$E:$E,'Log diário'!$B:$B,$B$2,'Log diário'!$C:$C,$A16)</f>
        <v>0</v>
      </c>
      <c r="O16" s="50" t="n">
        <f aca="false">G16*Premissas!$C$10</f>
        <v>2.51612903225806</v>
      </c>
      <c r="P16" s="55" t="n">
        <f aca="false">IFERROR(M16/O16,0)</f>
        <v>0</v>
      </c>
      <c r="Q16" s="50" t="n">
        <f aca="false">IFERROR(M16/Premissas!$C$8*Premissas!$C$7,0)</f>
        <v>0</v>
      </c>
      <c r="R16" s="50" t="n">
        <f aca="false">Q16-G16</f>
        <v>-26</v>
      </c>
      <c r="S16" s="56" t="n">
        <f aca="false">IFERROR(MAX(0,G16-M16)/Premissas!$C$9,0)</f>
        <v>0.928571428571429</v>
      </c>
    </row>
    <row r="17" customFormat="false" ht="15" hidden="false" customHeight="false" outlineLevel="0" collapsed="false">
      <c r="A17" s="11" t="s">
        <v>268</v>
      </c>
      <c r="B17" s="12" t="s">
        <v>269</v>
      </c>
      <c r="C17" s="12" t="s">
        <v>270</v>
      </c>
      <c r="D17" s="50" t="n">
        <v>20</v>
      </c>
      <c r="E17" s="51" t="n">
        <f aca="false">IFERROR(D17/$D$23,0)</f>
        <v>0.0135593220338983</v>
      </c>
      <c r="F17" s="30" t="n">
        <v>0</v>
      </c>
      <c r="G17" s="50" t="n">
        <f aca="false">ROUND(D17*(1+$B$4),0)+F17</f>
        <v>26</v>
      </c>
      <c r="H17" s="35" t="n">
        <v>101.71</v>
      </c>
      <c r="I17" s="52" t="n">
        <f aca="false">G17*H17</f>
        <v>2644.46</v>
      </c>
      <c r="J17" s="53" t="n">
        <f aca="false">Premissas!$C$18</f>
        <v>44.3</v>
      </c>
      <c r="K17" s="54" t="n">
        <f aca="false">H17*(1-Premissas!$C$19)*(1-$D$4)*(1-Premissas!$C$20)-J17</f>
        <v>57.41</v>
      </c>
      <c r="L17" s="52" t="n">
        <f aca="false">G17*K17</f>
        <v>1492.66</v>
      </c>
      <c r="M17" s="50" t="n">
        <f aca="false">SUMIFS('Log diário'!$D:$D,'Log diário'!$B:$B,$B$2,'Log diário'!$C:$C,$A17)</f>
        <v>0</v>
      </c>
      <c r="N17" s="52" t="n">
        <f aca="false">SUMIFS('Log diário'!$E:$E,'Log diário'!$B:$B,$B$2,'Log diário'!$C:$C,$A17)</f>
        <v>0</v>
      </c>
      <c r="O17" s="50" t="n">
        <f aca="false">G17*Premissas!$C$10</f>
        <v>2.51612903225806</v>
      </c>
      <c r="P17" s="55" t="n">
        <f aca="false">IFERROR(M17/O17,0)</f>
        <v>0</v>
      </c>
      <c r="Q17" s="50" t="n">
        <f aca="false">IFERROR(M17/Premissas!$C$8*Premissas!$C$7,0)</f>
        <v>0</v>
      </c>
      <c r="R17" s="50" t="n">
        <f aca="false">Q17-G17</f>
        <v>-26</v>
      </c>
      <c r="S17" s="56" t="n">
        <f aca="false">IFERROR(MAX(0,G17-M17)/Premissas!$C$9,0)</f>
        <v>0.928571428571429</v>
      </c>
    </row>
    <row r="18" customFormat="false" ht="15" hidden="false" customHeight="false" outlineLevel="0" collapsed="false">
      <c r="A18" s="11" t="s">
        <v>283</v>
      </c>
      <c r="B18" s="12" t="s">
        <v>284</v>
      </c>
      <c r="C18" s="12" t="s">
        <v>270</v>
      </c>
      <c r="D18" s="50" t="n">
        <v>17</v>
      </c>
      <c r="E18" s="51" t="n">
        <f aca="false">IFERROR(D18/$D$23,0)</f>
        <v>0.0115254237288136</v>
      </c>
      <c r="F18" s="30" t="n">
        <v>0</v>
      </c>
      <c r="G18" s="50" t="n">
        <f aca="false">ROUND(D18*(1+$B$4),0)+F18</f>
        <v>22</v>
      </c>
      <c r="H18" s="35" t="n">
        <v>101.41</v>
      </c>
      <c r="I18" s="52" t="n">
        <f aca="false">G18*H18</f>
        <v>2231.02</v>
      </c>
      <c r="J18" s="53" t="n">
        <f aca="false">Premissas!$C$18</f>
        <v>44.3</v>
      </c>
      <c r="K18" s="54" t="n">
        <f aca="false">H18*(1-Premissas!$C$19)*(1-$D$4)*(1-Premissas!$C$20)-J18</f>
        <v>57.11</v>
      </c>
      <c r="L18" s="52" t="n">
        <f aca="false">G18*K18</f>
        <v>1256.42</v>
      </c>
      <c r="M18" s="50" t="n">
        <f aca="false">SUMIFS('Log diário'!$D:$D,'Log diário'!$B:$B,$B$2,'Log diário'!$C:$C,$A18)</f>
        <v>0</v>
      </c>
      <c r="N18" s="52" t="n">
        <f aca="false">SUMIFS('Log diário'!$E:$E,'Log diário'!$B:$B,$B$2,'Log diário'!$C:$C,$A18)</f>
        <v>0</v>
      </c>
      <c r="O18" s="50" t="n">
        <f aca="false">G18*Premissas!$C$10</f>
        <v>2.12903225806452</v>
      </c>
      <c r="P18" s="55" t="n">
        <f aca="false">IFERROR(M18/O18,0)</f>
        <v>0</v>
      </c>
      <c r="Q18" s="50" t="n">
        <f aca="false">IFERROR(M18/Premissas!$C$8*Premissas!$C$7,0)</f>
        <v>0</v>
      </c>
      <c r="R18" s="50" t="n">
        <f aca="false">Q18-G18</f>
        <v>-22</v>
      </c>
      <c r="S18" s="56" t="n">
        <f aca="false">IFERROR(MAX(0,G18-M18)/Premissas!$C$9,0)</f>
        <v>0.785714285714286</v>
      </c>
    </row>
    <row r="19" customFormat="false" ht="15" hidden="false" customHeight="false" outlineLevel="0" collapsed="false">
      <c r="A19" s="11" t="s">
        <v>271</v>
      </c>
      <c r="B19" s="12" t="s">
        <v>272</v>
      </c>
      <c r="C19" s="12" t="s">
        <v>270</v>
      </c>
      <c r="D19" s="50" t="n">
        <v>16</v>
      </c>
      <c r="E19" s="51" t="n">
        <f aca="false">IFERROR(D19/$D$23,0)</f>
        <v>0.0108474576271186</v>
      </c>
      <c r="F19" s="30" t="n">
        <v>0</v>
      </c>
      <c r="G19" s="50" t="n">
        <f aca="false">ROUND(D19*(1+$B$4),0)+F19</f>
        <v>21</v>
      </c>
      <c r="H19" s="35" t="n">
        <v>101.08</v>
      </c>
      <c r="I19" s="52" t="n">
        <f aca="false">G19*H19</f>
        <v>2122.68</v>
      </c>
      <c r="J19" s="53" t="n">
        <f aca="false">Premissas!$C$18</f>
        <v>44.3</v>
      </c>
      <c r="K19" s="54" t="n">
        <f aca="false">H19*(1-Premissas!$C$19)*(1-$D$4)*(1-Premissas!$C$20)-J19</f>
        <v>56.78</v>
      </c>
      <c r="L19" s="52" t="n">
        <f aca="false">G19*K19</f>
        <v>1192.38</v>
      </c>
      <c r="M19" s="50" t="n">
        <f aca="false">SUMIFS('Log diário'!$D:$D,'Log diário'!$B:$B,$B$2,'Log diário'!$C:$C,$A19)</f>
        <v>0</v>
      </c>
      <c r="N19" s="52" t="n">
        <f aca="false">SUMIFS('Log diário'!$E:$E,'Log diário'!$B:$B,$B$2,'Log diário'!$C:$C,$A19)</f>
        <v>0</v>
      </c>
      <c r="O19" s="50" t="n">
        <f aca="false">G19*Premissas!$C$10</f>
        <v>2.03225806451613</v>
      </c>
      <c r="P19" s="55" t="n">
        <f aca="false">IFERROR(M19/O19,0)</f>
        <v>0</v>
      </c>
      <c r="Q19" s="50" t="n">
        <f aca="false">IFERROR(M19/Premissas!$C$8*Premissas!$C$7,0)</f>
        <v>0</v>
      </c>
      <c r="R19" s="50" t="n">
        <f aca="false">Q19-G19</f>
        <v>-21</v>
      </c>
      <c r="S19" s="56" t="n">
        <f aca="false">IFERROR(MAX(0,G19-M19)/Premissas!$C$9,0)</f>
        <v>0.75</v>
      </c>
    </row>
    <row r="20" customFormat="false" ht="15" hidden="false" customHeight="false" outlineLevel="0" collapsed="false">
      <c r="A20" s="11" t="s">
        <v>275</v>
      </c>
      <c r="B20" s="12" t="s">
        <v>276</v>
      </c>
      <c r="C20" s="12" t="s">
        <v>270</v>
      </c>
      <c r="D20" s="50" t="n">
        <v>15</v>
      </c>
      <c r="E20" s="51" t="n">
        <f aca="false">IFERROR(D20/$D$23,0)</f>
        <v>0.0101694915254237</v>
      </c>
      <c r="F20" s="30" t="n">
        <v>0</v>
      </c>
      <c r="G20" s="50" t="n">
        <f aca="false">ROUND(D20*(1+$B$4),0)+F20</f>
        <v>20</v>
      </c>
      <c r="H20" s="35" t="n">
        <v>83.68</v>
      </c>
      <c r="I20" s="52" t="n">
        <f aca="false">G20*H20</f>
        <v>1673.6</v>
      </c>
      <c r="J20" s="53" t="n">
        <f aca="false">Premissas!$C$18</f>
        <v>44.3</v>
      </c>
      <c r="K20" s="54" t="n">
        <f aca="false">H20*(1-Premissas!$C$19)*(1-$D$4)*(1-Premissas!$C$20)-J20</f>
        <v>39.38</v>
      </c>
      <c r="L20" s="52" t="n">
        <f aca="false">G20*K20</f>
        <v>787.6</v>
      </c>
      <c r="M20" s="50" t="n">
        <f aca="false">SUMIFS('Log diário'!$D:$D,'Log diário'!$B:$B,$B$2,'Log diário'!$C:$C,$A20)</f>
        <v>1</v>
      </c>
      <c r="N20" s="52" t="n">
        <f aca="false">SUMIFS('Log diário'!$E:$E,'Log diário'!$B:$B,$B$2,'Log diário'!$C:$C,$A20)</f>
        <v>83.68</v>
      </c>
      <c r="O20" s="50" t="n">
        <f aca="false">G20*Premissas!$C$10</f>
        <v>1.93548387096774</v>
      </c>
      <c r="P20" s="55" t="n">
        <f aca="false">IFERROR(M20/O20,0)</f>
        <v>0.516666666666667</v>
      </c>
      <c r="Q20" s="50" t="n">
        <f aca="false">IFERROR(M20/Premissas!$C$8*Premissas!$C$7,0)</f>
        <v>10.3333333333333</v>
      </c>
      <c r="R20" s="50" t="n">
        <f aca="false">Q20-G20</f>
        <v>-9.66666666666667</v>
      </c>
      <c r="S20" s="56" t="n">
        <f aca="false">IFERROR(MAX(0,G20-M20)/Premissas!$C$9,0)</f>
        <v>0.678571428571429</v>
      </c>
    </row>
    <row r="21" customFormat="false" ht="15" hidden="false" customHeight="false" outlineLevel="0" collapsed="false">
      <c r="A21" s="11" t="s">
        <v>301</v>
      </c>
      <c r="B21" s="12" t="s">
        <v>286</v>
      </c>
      <c r="C21" s="12" t="s">
        <v>270</v>
      </c>
      <c r="D21" s="50" t="n">
        <v>9</v>
      </c>
      <c r="E21" s="51" t="n">
        <f aca="false">IFERROR(D21/$D$23,0)</f>
        <v>0.00610169491525424</v>
      </c>
      <c r="F21" s="30" t="n">
        <v>0</v>
      </c>
      <c r="G21" s="50" t="n">
        <f aca="false">ROUND(D21*(1+$B$4),0)+F21</f>
        <v>12</v>
      </c>
      <c r="H21" s="35" t="n">
        <v>116.95</v>
      </c>
      <c r="I21" s="52" t="n">
        <f aca="false">G21*H21</f>
        <v>1403.4</v>
      </c>
      <c r="J21" s="53" t="n">
        <f aca="false">Premissas!$C$18</f>
        <v>44.3</v>
      </c>
      <c r="K21" s="54" t="n">
        <f aca="false">H21*(1-Premissas!$C$19)*(1-$D$4)*(1-Premissas!$C$20)-J21</f>
        <v>72.65</v>
      </c>
      <c r="L21" s="52" t="n">
        <f aca="false">G21*K21</f>
        <v>871.8</v>
      </c>
      <c r="M21" s="50" t="n">
        <f aca="false">SUMIFS('Log diário'!$D:$D,'Log diário'!$B:$B,$B$2,'Log diário'!$C:$C,$A21)</f>
        <v>0</v>
      </c>
      <c r="N21" s="52" t="n">
        <f aca="false">SUMIFS('Log diário'!$E:$E,'Log diário'!$B:$B,$B$2,'Log diário'!$C:$C,$A21)</f>
        <v>0</v>
      </c>
      <c r="O21" s="50" t="n">
        <f aca="false">G21*Premissas!$C$10</f>
        <v>1.16129032258065</v>
      </c>
      <c r="P21" s="55" t="n">
        <f aca="false">IFERROR(M21/O21,0)</f>
        <v>0</v>
      </c>
      <c r="Q21" s="50" t="n">
        <f aca="false">IFERROR(M21/Premissas!$C$8*Premissas!$C$7,0)</f>
        <v>0</v>
      </c>
      <c r="R21" s="50" t="n">
        <f aca="false">Q21-G21</f>
        <v>-12</v>
      </c>
      <c r="S21" s="56" t="n">
        <f aca="false">IFERROR(MAX(0,G21-M21)/Premissas!$C$9,0)</f>
        <v>0.428571428571429</v>
      </c>
    </row>
    <row r="22" customFormat="false" ht="15" hidden="false" customHeight="false" outlineLevel="0" collapsed="false">
      <c r="A22" s="11" t="s">
        <v>287</v>
      </c>
      <c r="B22" s="12" t="s">
        <v>288</v>
      </c>
      <c r="C22" s="12" t="s">
        <v>46</v>
      </c>
      <c r="D22" s="50" t="n">
        <v>39</v>
      </c>
      <c r="E22" s="51" t="n">
        <f aca="false">IFERROR(D22/$D$23,0)</f>
        <v>0.0264406779661017</v>
      </c>
      <c r="F22" s="30" t="n">
        <v>0</v>
      </c>
      <c r="G22" s="50" t="n">
        <f aca="false">ROUND(D22*(1+$B$4),0)+F22</f>
        <v>51</v>
      </c>
      <c r="H22" s="35" t="n">
        <v>94.16</v>
      </c>
      <c r="I22" s="52" t="n">
        <f aca="false">G22*H22</f>
        <v>4802.16</v>
      </c>
      <c r="J22" s="53" t="n">
        <f aca="false">Premissas!$C$18</f>
        <v>44.3</v>
      </c>
      <c r="K22" s="54" t="n">
        <f aca="false">H22*(1-Premissas!$C$19)*(1-$D$4)*(1-Premissas!$C$20)-J22</f>
        <v>49.86</v>
      </c>
      <c r="L22" s="52" t="n">
        <f aca="false">G22*K22</f>
        <v>2542.86</v>
      </c>
      <c r="M22" s="50" t="n">
        <f aca="false">SUMIFS('Log diário'!$D:$D,'Log diário'!$B:$B,$B$2,'Log diário'!$C:$C,$A22)</f>
        <v>1</v>
      </c>
      <c r="N22" s="52" t="n">
        <f aca="false">SUMIFS('Log diário'!$E:$E,'Log diário'!$B:$B,$B$2,'Log diário'!$C:$C,$A22)</f>
        <v>94.16</v>
      </c>
      <c r="O22" s="50" t="n">
        <f aca="false">G22*Premissas!$C$10</f>
        <v>4.93548387096774</v>
      </c>
      <c r="P22" s="55" t="n">
        <f aca="false">IFERROR(M22/O22,0)</f>
        <v>0.202614379084967</v>
      </c>
      <c r="Q22" s="50" t="n">
        <f aca="false">IFERROR(M22/Premissas!$C$8*Premissas!$C$7,0)</f>
        <v>10.3333333333333</v>
      </c>
      <c r="R22" s="50" t="n">
        <f aca="false">Q22-G22</f>
        <v>-40.6666666666667</v>
      </c>
      <c r="S22" s="56" t="n">
        <f aca="false">IFERROR(MAX(0,G22-M22)/Premissas!$C$9,0)</f>
        <v>1.78571428571429</v>
      </c>
    </row>
    <row r="23" customFormat="false" ht="15" hidden="false" customHeight="false" outlineLevel="0" collapsed="false">
      <c r="A23" s="19" t="s">
        <v>289</v>
      </c>
      <c r="B23" s="19"/>
      <c r="C23" s="19"/>
      <c r="D23" s="20" t="n">
        <f aca="false">SUM(D8:D22)</f>
        <v>1475</v>
      </c>
      <c r="E23" s="23" t="n">
        <f aca="false">SUM(E8:E22)</f>
        <v>1</v>
      </c>
      <c r="F23" s="20" t="n">
        <f aca="false">SUM(F8:F22)</f>
        <v>0</v>
      </c>
      <c r="G23" s="20" t="n">
        <f aca="false">SUM(G8:G22)</f>
        <v>1920</v>
      </c>
      <c r="H23" s="57"/>
      <c r="I23" s="21" t="n">
        <f aca="false">SUM(I8:I22)</f>
        <v>180786.1</v>
      </c>
      <c r="J23" s="57"/>
      <c r="K23" s="57"/>
      <c r="L23" s="21" t="n">
        <f aca="false">SUM(L8:L22)</f>
        <v>95730.1</v>
      </c>
      <c r="M23" s="20" t="n">
        <f aca="false">SUM(M8:M22)</f>
        <v>14</v>
      </c>
      <c r="N23" s="21" t="n">
        <f aca="false">SUM(N8:N22)</f>
        <v>1291.62</v>
      </c>
      <c r="O23" s="20" t="n">
        <f aca="false">SUM(O8:O22)</f>
        <v>185.806451612903</v>
      </c>
      <c r="P23" s="22" t="n">
        <f aca="false">IFERROR(M23/O23,0)</f>
        <v>0.0753472222222222</v>
      </c>
      <c r="Q23" s="20" t="n">
        <f aca="false">SUM(Q8:Q22)</f>
        <v>144.666666666667</v>
      </c>
      <c r="R23" s="20" t="n">
        <f aca="false">SUM(R8:R22)</f>
        <v>-1775.33333333333</v>
      </c>
      <c r="S23" s="58" t="n">
        <f aca="false">SUM(S8:S22)</f>
        <v>68.0714285714286</v>
      </c>
    </row>
    <row r="24" customFormat="false" ht="15" hidden="false" customHeight="false" outlineLevel="0" collapsed="false">
      <c r="A24" s="11" t="s">
        <v>290</v>
      </c>
      <c r="B24" s="12"/>
      <c r="C24" s="12"/>
      <c r="D24" s="50" t="n">
        <f aca="false">SUMIFS(D8:D22,$C$8:$C$22,"H")</f>
        <v>1037</v>
      </c>
      <c r="E24" s="12"/>
      <c r="F24" s="12"/>
      <c r="G24" s="50" t="n">
        <f aca="false">SUMIFS(G8:G22,$C$8:$C$22,"H")</f>
        <v>1349</v>
      </c>
      <c r="H24" s="12"/>
      <c r="I24" s="12"/>
      <c r="J24" s="12"/>
      <c r="K24" s="12"/>
      <c r="L24" s="52" t="n">
        <f aca="false">SUMIFS(L8:L22,$C$8:$C$22,"H")</f>
        <v>66826.29</v>
      </c>
    </row>
    <row r="25" customFormat="false" ht="15" hidden="false" customHeight="false" outlineLevel="0" collapsed="false">
      <c r="A25" s="11" t="s">
        <v>291</v>
      </c>
      <c r="B25" s="12"/>
      <c r="C25" s="12"/>
      <c r="D25" s="50" t="n">
        <f aca="false">SUMIFS(D8:D22,$C$8:$C$22,"E")</f>
        <v>399</v>
      </c>
      <c r="E25" s="12"/>
      <c r="F25" s="12"/>
      <c r="G25" s="50" t="n">
        <f aca="false">SUMIFS(G8:G22,$C$8:$C$22,"E")</f>
        <v>520</v>
      </c>
      <c r="H25" s="12"/>
      <c r="I25" s="12"/>
      <c r="J25" s="12"/>
      <c r="K25" s="12"/>
      <c r="L25" s="52" t="n">
        <f aca="false">SUMIFS(L8:L22,$C$8:$C$22,"E")</f>
        <v>26360.95</v>
      </c>
    </row>
    <row r="27" customFormat="false" ht="15" hidden="false" customHeight="false" outlineLevel="0" collapsed="false">
      <c r="A27" s="9" t="s">
        <v>292</v>
      </c>
    </row>
    <row r="28" customFormat="false" ht="15" hidden="false" customHeight="false" outlineLevel="0" collapsed="false">
      <c r="A28" s="9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5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5" min="14" style="0" width="13"/>
    <col collapsed="false" customWidth="true" hidden="false" outlineLevel="0" max="16" min="16" style="0" width="11"/>
    <col collapsed="false" customWidth="true" hidden="false" outlineLevel="0" max="18" min="17" style="0" width="12"/>
    <col collapsed="false" customWidth="true" hidden="false" outlineLevel="0" max="19" min="19" style="0" width="14"/>
  </cols>
  <sheetData>
    <row r="1" customFormat="false" ht="16.15" hidden="false" customHeight="false" outlineLevel="0" collapsed="false">
      <c r="A1" s="1" t="s">
        <v>302</v>
      </c>
    </row>
    <row r="2" customFormat="false" ht="15" hidden="false" customHeight="false" outlineLevel="0" collapsed="false">
      <c r="A2" s="3" t="s">
        <v>241</v>
      </c>
      <c r="B2" s="27" t="s">
        <v>116</v>
      </c>
      <c r="C2" s="3" t="s">
        <v>242</v>
      </c>
      <c r="D2" s="27" t="s">
        <v>117</v>
      </c>
      <c r="F2" s="3" t="s">
        <v>243</v>
      </c>
      <c r="G2" s="27" t="s">
        <v>112</v>
      </c>
      <c r="I2" s="3" t="s">
        <v>244</v>
      </c>
      <c r="K2" s="59" t="s">
        <v>118</v>
      </c>
    </row>
    <row r="3" customFormat="false" ht="15" hidden="false" customHeight="false" outlineLevel="0" collapsed="false">
      <c r="A3" s="3" t="s">
        <v>245</v>
      </c>
      <c r="B3" s="27" t="s">
        <v>303</v>
      </c>
    </row>
    <row r="4" customFormat="false" ht="15" hidden="false" customHeight="false" outlineLevel="0" collapsed="false">
      <c r="A4" s="3" t="s">
        <v>247</v>
      </c>
      <c r="B4" s="45" t="n">
        <f aca="false">Premissas!$C$27</f>
        <v>0</v>
      </c>
      <c r="C4" s="3" t="s">
        <v>248</v>
      </c>
      <c r="D4" s="45" t="n">
        <f aca="false">Premissas!$D$27</f>
        <v>0</v>
      </c>
      <c r="F4" s="3" t="s">
        <v>249</v>
      </c>
      <c r="G4" s="46" t="n">
        <f aca="false">Premissas!$C$18</f>
        <v>44.3</v>
      </c>
    </row>
    <row r="5" customFormat="false" ht="15" hidden="false" customHeight="false" outlineLevel="0" collapsed="false">
      <c r="A5" s="3" t="s">
        <v>250</v>
      </c>
      <c r="B5" s="47" t="n">
        <f aca="false">G9</f>
        <v>0</v>
      </c>
      <c r="C5" s="3" t="s">
        <v>251</v>
      </c>
      <c r="D5" s="48" t="n">
        <f aca="false">I9</f>
        <v>0</v>
      </c>
      <c r="F5" s="3" t="s">
        <v>252</v>
      </c>
      <c r="G5" s="48" t="n">
        <f aca="false">L9</f>
        <v>0</v>
      </c>
      <c r="I5" s="3" t="s">
        <v>253</v>
      </c>
      <c r="K5" s="49" t="n">
        <f aca="false">P9</f>
        <v>0</v>
      </c>
    </row>
    <row r="7" customFormat="false" ht="30" hidden="false" customHeight="true" outlineLevel="0" collapsed="false">
      <c r="A7" s="10" t="s">
        <v>254</v>
      </c>
      <c r="B7" s="10" t="s">
        <v>255</v>
      </c>
      <c r="C7" s="10" t="s">
        <v>256</v>
      </c>
      <c r="D7" s="10" t="s">
        <v>101</v>
      </c>
      <c r="E7" s="10" t="s">
        <v>257</v>
      </c>
      <c r="F7" s="10" t="s">
        <v>258</v>
      </c>
      <c r="G7" s="10" t="s">
        <v>102</v>
      </c>
      <c r="H7" s="10" t="s">
        <v>39</v>
      </c>
      <c r="I7" s="10" t="s">
        <v>103</v>
      </c>
      <c r="J7" s="10" t="s">
        <v>42</v>
      </c>
      <c r="K7" s="10" t="s">
        <v>259</v>
      </c>
      <c r="L7" s="10" t="s">
        <v>104</v>
      </c>
      <c r="M7" s="10" t="s">
        <v>105</v>
      </c>
      <c r="N7" s="10" t="s">
        <v>56</v>
      </c>
      <c r="O7" s="10" t="s">
        <v>60</v>
      </c>
      <c r="P7" s="10" t="s">
        <v>106</v>
      </c>
      <c r="Q7" s="10" t="s">
        <v>64</v>
      </c>
      <c r="R7" s="10" t="s">
        <v>108</v>
      </c>
      <c r="S7" s="10" t="s">
        <v>260</v>
      </c>
    </row>
    <row r="8" customFormat="false" ht="15" hidden="false" customHeight="false" outlineLevel="0" collapsed="false">
      <c r="A8" s="11" t="s">
        <v>46</v>
      </c>
      <c r="B8" s="12" t="s">
        <v>304</v>
      </c>
      <c r="C8" s="12" t="s">
        <v>46</v>
      </c>
      <c r="D8" s="50" t="n">
        <v>0</v>
      </c>
      <c r="E8" s="51" t="n">
        <f aca="false">IFERROR(D8/$D$9,0)</f>
        <v>0</v>
      </c>
      <c r="F8" s="30" t="n">
        <v>0</v>
      </c>
      <c r="G8" s="50" t="n">
        <f aca="false">ROUND(D8*(1+$B$4),0)+F8</f>
        <v>0</v>
      </c>
      <c r="H8" s="35" t="n">
        <v>0</v>
      </c>
      <c r="I8" s="52" t="n">
        <f aca="false">G8*H8</f>
        <v>0</v>
      </c>
      <c r="J8" s="53" t="n">
        <f aca="false">Premissas!$C$18</f>
        <v>44.3</v>
      </c>
      <c r="K8" s="54" t="n">
        <f aca="false">H8*(1-Premissas!$C$19)*(1-$D$4)*(1-Premissas!$C$20)-J8</f>
        <v>-44.3</v>
      </c>
      <c r="L8" s="52" t="n">
        <f aca="false">G8*K8</f>
        <v>-0</v>
      </c>
      <c r="M8" s="50" t="n">
        <f aca="false">SUMIFS('Log diário'!$D:$D,'Log diário'!$B:$B,$B$2,'Log diário'!$C:$C,$A8)</f>
        <v>0</v>
      </c>
      <c r="N8" s="52" t="n">
        <f aca="false">SUMIFS('Log diário'!$E:$E,'Log diário'!$B:$B,$B$2,'Log diário'!$C:$C,$A8)</f>
        <v>0</v>
      </c>
      <c r="O8" s="50" t="n">
        <f aca="false">G8*Premissas!$C$10</f>
        <v>0</v>
      </c>
      <c r="P8" s="55" t="n">
        <f aca="false">IFERROR(M8/O8,0)</f>
        <v>0</v>
      </c>
      <c r="Q8" s="50" t="n">
        <f aca="false">IFERROR(M8/Premissas!$C$8*Premissas!$C$7,0)</f>
        <v>0</v>
      </c>
      <c r="R8" s="50" t="n">
        <f aca="false">Q8-G8</f>
        <v>0</v>
      </c>
      <c r="S8" s="56" t="n">
        <f aca="false">IFERROR(MAX(0,G8-M8)/Premissas!$C$9,0)</f>
        <v>0</v>
      </c>
    </row>
    <row r="9" customFormat="false" ht="15" hidden="false" customHeight="false" outlineLevel="0" collapsed="false">
      <c r="A9" s="19" t="s">
        <v>289</v>
      </c>
      <c r="B9" s="19"/>
      <c r="C9" s="19"/>
      <c r="D9" s="20" t="n">
        <f aca="false">SUM(D8:D8)</f>
        <v>0</v>
      </c>
      <c r="E9" s="23" t="n">
        <f aca="false">SUM(E8:E8)</f>
        <v>0</v>
      </c>
      <c r="F9" s="20" t="n">
        <f aca="false">SUM(F8:F8)</f>
        <v>0</v>
      </c>
      <c r="G9" s="20" t="n">
        <f aca="false">SUM(G8:G8)</f>
        <v>0</v>
      </c>
      <c r="H9" s="57"/>
      <c r="I9" s="21" t="n">
        <f aca="false">SUM(I8:I8)</f>
        <v>0</v>
      </c>
      <c r="J9" s="57"/>
      <c r="K9" s="57"/>
      <c r="L9" s="21" t="n">
        <f aca="false">SUM(L8:L8)</f>
        <v>0</v>
      </c>
      <c r="M9" s="20" t="n">
        <f aca="false">SUM(M8:M8)</f>
        <v>0</v>
      </c>
      <c r="N9" s="21" t="n">
        <f aca="false">SUM(N8:N8)</f>
        <v>0</v>
      </c>
      <c r="O9" s="20" t="n">
        <f aca="false">SUM(O8:O8)</f>
        <v>0</v>
      </c>
      <c r="P9" s="22" t="n">
        <f aca="false">IFERROR(M9/O9,0)</f>
        <v>0</v>
      </c>
      <c r="Q9" s="20" t="n">
        <f aca="false">SUM(Q8:Q8)</f>
        <v>0</v>
      </c>
      <c r="R9" s="20" t="n">
        <f aca="false">SUM(R8:R8)</f>
        <v>0</v>
      </c>
      <c r="S9" s="58" t="n">
        <f aca="false">SUM(S8:S8)</f>
        <v>0</v>
      </c>
    </row>
    <row r="10" customFormat="false" ht="15" hidden="false" customHeight="false" outlineLevel="0" collapsed="false">
      <c r="A10" s="11" t="s">
        <v>290</v>
      </c>
      <c r="B10" s="12"/>
      <c r="C10" s="12"/>
      <c r="D10" s="50" t="n">
        <f aca="false">SUMIFS(D8:D8,$C$8:$C$8,"H")</f>
        <v>0</v>
      </c>
      <c r="E10" s="12"/>
      <c r="F10" s="12"/>
      <c r="G10" s="50" t="n">
        <f aca="false">SUMIFS(G8:G8,$C$8:$C$8,"H")</f>
        <v>0</v>
      </c>
      <c r="H10" s="12"/>
      <c r="I10" s="12"/>
      <c r="J10" s="12"/>
      <c r="K10" s="12"/>
      <c r="L10" s="52" t="n">
        <f aca="false">SUMIFS(L8:L8,$C$8:$C$8,"H")</f>
        <v>0</v>
      </c>
    </row>
    <row r="11" customFormat="false" ht="15" hidden="false" customHeight="false" outlineLevel="0" collapsed="false">
      <c r="A11" s="11" t="s">
        <v>291</v>
      </c>
      <c r="B11" s="12"/>
      <c r="C11" s="12"/>
      <c r="D11" s="50" t="n">
        <f aca="false">SUMIFS(D8:D8,$C$8:$C$8,"E")</f>
        <v>0</v>
      </c>
      <c r="E11" s="12"/>
      <c r="F11" s="12"/>
      <c r="G11" s="50" t="n">
        <f aca="false">SUMIFS(G8:G8,$C$8:$C$8,"E")</f>
        <v>0</v>
      </c>
      <c r="H11" s="12"/>
      <c r="I11" s="12"/>
      <c r="J11" s="12"/>
      <c r="K11" s="12"/>
      <c r="L11" s="52" t="n">
        <f aca="false">SUMIFS(L8:L8,$C$8:$C$8,"E")</f>
        <v>0</v>
      </c>
    </row>
    <row r="13" customFormat="false" ht="15" hidden="false" customHeight="false" outlineLevel="0" collapsed="false">
      <c r="A13" s="9" t="s">
        <v>292</v>
      </c>
    </row>
    <row r="14" customFormat="false" ht="15" hidden="false" customHeight="false" outlineLevel="0" collapsed="false">
      <c r="A14" s="9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5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5" min="14" style="0" width="13"/>
    <col collapsed="false" customWidth="true" hidden="false" outlineLevel="0" max="16" min="16" style="0" width="11"/>
    <col collapsed="false" customWidth="true" hidden="false" outlineLevel="0" max="18" min="17" style="0" width="12"/>
    <col collapsed="false" customWidth="true" hidden="false" outlineLevel="0" max="19" min="19" style="0" width="14"/>
  </cols>
  <sheetData>
    <row r="1" customFormat="false" ht="16.15" hidden="false" customHeight="false" outlineLevel="0" collapsed="false">
      <c r="A1" s="1" t="s">
        <v>305</v>
      </c>
    </row>
    <row r="2" customFormat="false" ht="15" hidden="false" customHeight="false" outlineLevel="0" collapsed="false">
      <c r="A2" s="3" t="s">
        <v>241</v>
      </c>
      <c r="B2" s="27" t="s">
        <v>119</v>
      </c>
      <c r="C2" s="3" t="s">
        <v>242</v>
      </c>
      <c r="D2" s="27" t="s">
        <v>111</v>
      </c>
      <c r="F2" s="3" t="s">
        <v>243</v>
      </c>
      <c r="G2" s="27" t="s">
        <v>120</v>
      </c>
      <c r="I2" s="3" t="s">
        <v>244</v>
      </c>
      <c r="K2" s="59" t="s">
        <v>121</v>
      </c>
    </row>
    <row r="3" customFormat="false" ht="15" hidden="false" customHeight="false" outlineLevel="0" collapsed="false">
      <c r="A3" s="3" t="s">
        <v>245</v>
      </c>
      <c r="B3" s="27" t="s">
        <v>306</v>
      </c>
    </row>
    <row r="4" customFormat="false" ht="15" hidden="false" customHeight="false" outlineLevel="0" collapsed="false">
      <c r="A4" s="3" t="s">
        <v>247</v>
      </c>
      <c r="B4" s="45" t="n">
        <f aca="false">Premissas!$C$28</f>
        <v>0.15</v>
      </c>
      <c r="C4" s="3" t="s">
        <v>248</v>
      </c>
      <c r="D4" s="45" t="n">
        <f aca="false">Premissas!$D$28</f>
        <v>0</v>
      </c>
      <c r="F4" s="3" t="s">
        <v>249</v>
      </c>
      <c r="G4" s="46" t="n">
        <f aca="false">Premissas!$C$18</f>
        <v>44.3</v>
      </c>
    </row>
    <row r="5" customFormat="false" ht="15" hidden="false" customHeight="false" outlineLevel="0" collapsed="false">
      <c r="A5" s="3" t="s">
        <v>250</v>
      </c>
      <c r="B5" s="47" t="n">
        <f aca="false">G31</f>
        <v>2683</v>
      </c>
      <c r="C5" s="3" t="s">
        <v>251</v>
      </c>
      <c r="D5" s="48" t="n">
        <f aca="false">I31</f>
        <v>204839.18</v>
      </c>
      <c r="F5" s="3" t="s">
        <v>252</v>
      </c>
      <c r="G5" s="48" t="n">
        <f aca="false">L31</f>
        <v>85982.28</v>
      </c>
      <c r="I5" s="3" t="s">
        <v>253</v>
      </c>
      <c r="K5" s="49" t="n">
        <f aca="false">P31</f>
        <v>0.234936016896509</v>
      </c>
    </row>
    <row r="7" customFormat="false" ht="30" hidden="false" customHeight="true" outlineLevel="0" collapsed="false">
      <c r="A7" s="10" t="s">
        <v>254</v>
      </c>
      <c r="B7" s="10" t="s">
        <v>255</v>
      </c>
      <c r="C7" s="10" t="s">
        <v>256</v>
      </c>
      <c r="D7" s="10" t="s">
        <v>101</v>
      </c>
      <c r="E7" s="10" t="s">
        <v>257</v>
      </c>
      <c r="F7" s="10" t="s">
        <v>258</v>
      </c>
      <c r="G7" s="10" t="s">
        <v>102</v>
      </c>
      <c r="H7" s="10" t="s">
        <v>39</v>
      </c>
      <c r="I7" s="10" t="s">
        <v>103</v>
      </c>
      <c r="J7" s="10" t="s">
        <v>42</v>
      </c>
      <c r="K7" s="10" t="s">
        <v>259</v>
      </c>
      <c r="L7" s="10" t="s">
        <v>104</v>
      </c>
      <c r="M7" s="10" t="s">
        <v>105</v>
      </c>
      <c r="N7" s="10" t="s">
        <v>56</v>
      </c>
      <c r="O7" s="10" t="s">
        <v>60</v>
      </c>
      <c r="P7" s="10" t="s">
        <v>106</v>
      </c>
      <c r="Q7" s="10" t="s">
        <v>64</v>
      </c>
      <c r="R7" s="10" t="s">
        <v>108</v>
      </c>
      <c r="S7" s="10" t="s">
        <v>260</v>
      </c>
    </row>
    <row r="8" customFormat="false" ht="15" hidden="false" customHeight="false" outlineLevel="0" collapsed="false">
      <c r="A8" s="11" t="s">
        <v>261</v>
      </c>
      <c r="B8" s="12" t="s">
        <v>262</v>
      </c>
      <c r="C8" s="12" t="s">
        <v>263</v>
      </c>
      <c r="D8" s="50" t="n">
        <v>824</v>
      </c>
      <c r="E8" s="51" t="n">
        <f aca="false">IFERROR(D8/$D$31,0)</f>
        <v>0.353496353496354</v>
      </c>
      <c r="F8" s="30" t="n">
        <v>0</v>
      </c>
      <c r="G8" s="50" t="n">
        <f aca="false">ROUND(D8*(1+$B$4),0)+F8</f>
        <v>948</v>
      </c>
      <c r="H8" s="35" t="n">
        <v>73.05</v>
      </c>
      <c r="I8" s="52" t="n">
        <f aca="false">G8*H8</f>
        <v>69251.4</v>
      </c>
      <c r="J8" s="53" t="n">
        <f aca="false">Premissas!$C$18</f>
        <v>44.3</v>
      </c>
      <c r="K8" s="54" t="n">
        <f aca="false">H8*(1-Premissas!$C$19)*(1-$D$4)*(1-Premissas!$C$20)-J8</f>
        <v>28.75</v>
      </c>
      <c r="L8" s="52" t="n">
        <f aca="false">G8*K8</f>
        <v>27255</v>
      </c>
      <c r="M8" s="50" t="n">
        <f aca="false">SUMIFS('Log diário'!$D:$D,'Log diário'!$B:$B,$B$2,'Log diário'!$C:$C,$A8)</f>
        <v>16</v>
      </c>
      <c r="N8" s="52" t="n">
        <f aca="false">SUMIFS('Log diário'!$E:$E,'Log diário'!$B:$B,$B$2,'Log diário'!$C:$C,$A8)</f>
        <v>1168.8</v>
      </c>
      <c r="O8" s="50" t="n">
        <f aca="false">G8*Premissas!$C$10</f>
        <v>91.741935483871</v>
      </c>
      <c r="P8" s="55" t="n">
        <f aca="false">IFERROR(M8/O8,0)</f>
        <v>0.174402250351617</v>
      </c>
      <c r="Q8" s="50" t="n">
        <f aca="false">IFERROR(M8/Premissas!$C$8*Premissas!$C$7,0)</f>
        <v>165.333333333333</v>
      </c>
      <c r="R8" s="50" t="n">
        <f aca="false">Q8-G8</f>
        <v>-782.666666666667</v>
      </c>
      <c r="S8" s="56" t="n">
        <f aca="false">IFERROR(MAX(0,G8-M8)/Premissas!$C$9,0)</f>
        <v>33.2857142857143</v>
      </c>
    </row>
    <row r="9" customFormat="false" ht="15" hidden="false" customHeight="false" outlineLevel="0" collapsed="false">
      <c r="A9" s="11" t="s">
        <v>264</v>
      </c>
      <c r="B9" s="12" t="s">
        <v>265</v>
      </c>
      <c r="C9" s="12" t="s">
        <v>263</v>
      </c>
      <c r="D9" s="50" t="n">
        <v>319</v>
      </c>
      <c r="E9" s="51" t="n">
        <f aca="false">IFERROR(D9/$D$31,0)</f>
        <v>0.136851136851137</v>
      </c>
      <c r="F9" s="30" t="n">
        <v>0</v>
      </c>
      <c r="G9" s="50" t="n">
        <f aca="false">ROUND(D9*(1+$B$4),0)+F9</f>
        <v>367</v>
      </c>
      <c r="H9" s="35" t="n">
        <v>73.45</v>
      </c>
      <c r="I9" s="52" t="n">
        <f aca="false">G9*H9</f>
        <v>26956.15</v>
      </c>
      <c r="J9" s="53" t="n">
        <f aca="false">Premissas!$C$18</f>
        <v>44.3</v>
      </c>
      <c r="K9" s="54" t="n">
        <f aca="false">H9*(1-Premissas!$C$19)*(1-$D$4)*(1-Premissas!$C$20)-J9</f>
        <v>29.15</v>
      </c>
      <c r="L9" s="52" t="n">
        <f aca="false">G9*K9</f>
        <v>10698.05</v>
      </c>
      <c r="M9" s="50" t="n">
        <f aca="false">SUMIFS('Log diário'!$D:$D,'Log diário'!$B:$B,$B$2,'Log diário'!$C:$C,$A9)</f>
        <v>11</v>
      </c>
      <c r="N9" s="52" t="n">
        <f aca="false">SUMIFS('Log diário'!$E:$E,'Log diário'!$B:$B,$B$2,'Log diário'!$C:$C,$A9)</f>
        <v>807.95</v>
      </c>
      <c r="O9" s="50" t="n">
        <f aca="false">G9*Premissas!$C$10</f>
        <v>35.5161290322581</v>
      </c>
      <c r="P9" s="55" t="n">
        <f aca="false">IFERROR(M9/O9,0)</f>
        <v>0.309718437783833</v>
      </c>
      <c r="Q9" s="50" t="n">
        <f aca="false">IFERROR(M9/Premissas!$C$8*Premissas!$C$7,0)</f>
        <v>113.666666666667</v>
      </c>
      <c r="R9" s="50" t="n">
        <f aca="false">Q9-G9</f>
        <v>-253.333333333333</v>
      </c>
      <c r="S9" s="56" t="n">
        <f aca="false">IFERROR(MAX(0,G9-M9)/Premissas!$C$9,0)</f>
        <v>12.7142857142857</v>
      </c>
    </row>
    <row r="10" customFormat="false" ht="15" hidden="false" customHeight="false" outlineLevel="0" collapsed="false">
      <c r="A10" s="11" t="s">
        <v>266</v>
      </c>
      <c r="B10" s="12" t="s">
        <v>267</v>
      </c>
      <c r="C10" s="12" t="s">
        <v>263</v>
      </c>
      <c r="D10" s="50" t="n">
        <v>238</v>
      </c>
      <c r="E10" s="51" t="n">
        <f aca="false">IFERROR(D10/$D$31,0)</f>
        <v>0.102102102102102</v>
      </c>
      <c r="F10" s="30" t="n">
        <v>0</v>
      </c>
      <c r="G10" s="50" t="n">
        <f aca="false">ROUND(D10*(1+$B$4),0)+F10</f>
        <v>274</v>
      </c>
      <c r="H10" s="35" t="n">
        <v>72.79</v>
      </c>
      <c r="I10" s="52" t="n">
        <f aca="false">G10*H10</f>
        <v>19944.46</v>
      </c>
      <c r="J10" s="53" t="n">
        <f aca="false">Premissas!$C$18</f>
        <v>44.3</v>
      </c>
      <c r="K10" s="54" t="n">
        <f aca="false">H10*(1-Premissas!$C$19)*(1-$D$4)*(1-Premissas!$C$20)-J10</f>
        <v>28.49</v>
      </c>
      <c r="L10" s="52" t="n">
        <f aca="false">G10*K10</f>
        <v>7806.26</v>
      </c>
      <c r="M10" s="50" t="n">
        <f aca="false">SUMIFS('Log diário'!$D:$D,'Log diário'!$B:$B,$B$2,'Log diário'!$C:$C,$A10)</f>
        <v>6</v>
      </c>
      <c r="N10" s="52" t="n">
        <f aca="false">SUMIFS('Log diário'!$E:$E,'Log diário'!$B:$B,$B$2,'Log diário'!$C:$C,$A10)</f>
        <v>436.74</v>
      </c>
      <c r="O10" s="50" t="n">
        <f aca="false">G10*Premissas!$C$10</f>
        <v>26.5161290322581</v>
      </c>
      <c r="P10" s="55" t="n">
        <f aca="false">IFERROR(M10/O10,0)</f>
        <v>0.226277372262774</v>
      </c>
      <c r="Q10" s="50" t="n">
        <f aca="false">IFERROR(M10/Premissas!$C$8*Premissas!$C$7,0)</f>
        <v>62</v>
      </c>
      <c r="R10" s="50" t="n">
        <f aca="false">Q10-G10</f>
        <v>-212</v>
      </c>
      <c r="S10" s="56" t="n">
        <f aca="false">IFERROR(MAX(0,G10-M10)/Premissas!$C$9,0)</f>
        <v>9.57142857142857</v>
      </c>
    </row>
    <row r="11" customFormat="false" ht="15" hidden="false" customHeight="false" outlineLevel="0" collapsed="false">
      <c r="A11" s="11" t="s">
        <v>271</v>
      </c>
      <c r="B11" s="12" t="s">
        <v>272</v>
      </c>
      <c r="C11" s="12" t="s">
        <v>270</v>
      </c>
      <c r="D11" s="50" t="n">
        <v>156</v>
      </c>
      <c r="E11" s="51" t="n">
        <f aca="false">IFERROR(D11/$D$31,0)</f>
        <v>0.0669240669240669</v>
      </c>
      <c r="F11" s="30" t="n">
        <v>0</v>
      </c>
      <c r="G11" s="50" t="n">
        <f aca="false">ROUND(D11*(1+$B$4),0)+F11</f>
        <v>179</v>
      </c>
      <c r="H11" s="35" t="n">
        <v>85.11</v>
      </c>
      <c r="I11" s="52" t="n">
        <f aca="false">G11*H11</f>
        <v>15234.69</v>
      </c>
      <c r="J11" s="53" t="n">
        <f aca="false">Premissas!$C$18</f>
        <v>44.3</v>
      </c>
      <c r="K11" s="54" t="n">
        <f aca="false">H11*(1-Premissas!$C$19)*(1-$D$4)*(1-Premissas!$C$20)-J11</f>
        <v>40.81</v>
      </c>
      <c r="L11" s="52" t="n">
        <f aca="false">G11*K11</f>
        <v>7304.99</v>
      </c>
      <c r="M11" s="50" t="n">
        <f aca="false">SUMIFS('Log diário'!$D:$D,'Log diário'!$B:$B,$B$2,'Log diário'!$C:$C,$A11)</f>
        <v>3</v>
      </c>
      <c r="N11" s="52" t="n">
        <f aca="false">SUMIFS('Log diário'!$E:$E,'Log diário'!$B:$B,$B$2,'Log diário'!$C:$C,$A11)</f>
        <v>255.33</v>
      </c>
      <c r="O11" s="50" t="n">
        <f aca="false">G11*Premissas!$C$10</f>
        <v>17.3225806451613</v>
      </c>
      <c r="P11" s="55" t="n">
        <f aca="false">IFERROR(M11/O11,0)</f>
        <v>0.173184357541899</v>
      </c>
      <c r="Q11" s="50" t="n">
        <f aca="false">IFERROR(M11/Premissas!$C$8*Premissas!$C$7,0)</f>
        <v>31</v>
      </c>
      <c r="R11" s="50" t="n">
        <f aca="false">Q11-G11</f>
        <v>-148</v>
      </c>
      <c r="S11" s="56" t="n">
        <f aca="false">IFERROR(MAX(0,G11-M11)/Premissas!$C$9,0)</f>
        <v>6.28571428571429</v>
      </c>
    </row>
    <row r="12" customFormat="false" ht="15" hidden="false" customHeight="false" outlineLevel="0" collapsed="false">
      <c r="A12" s="11" t="s">
        <v>277</v>
      </c>
      <c r="B12" s="12" t="s">
        <v>278</v>
      </c>
      <c r="C12" s="12" t="s">
        <v>270</v>
      </c>
      <c r="D12" s="50" t="n">
        <v>136</v>
      </c>
      <c r="E12" s="51" t="n">
        <f aca="false">IFERROR(D12/$D$31,0)</f>
        <v>0.0583440583440583</v>
      </c>
      <c r="F12" s="30" t="n">
        <v>0</v>
      </c>
      <c r="G12" s="50" t="n">
        <f aca="false">ROUND(D12*(1+$B$4),0)+F12</f>
        <v>156</v>
      </c>
      <c r="H12" s="35" t="n">
        <v>85.13</v>
      </c>
      <c r="I12" s="52" t="n">
        <f aca="false">G12*H12</f>
        <v>13280.28</v>
      </c>
      <c r="J12" s="53" t="n">
        <f aca="false">Premissas!$C$18</f>
        <v>44.3</v>
      </c>
      <c r="K12" s="54" t="n">
        <f aca="false">H12*(1-Premissas!$C$19)*(1-$D$4)*(1-Premissas!$C$20)-J12</f>
        <v>40.83</v>
      </c>
      <c r="L12" s="52" t="n">
        <f aca="false">G12*K12</f>
        <v>6369.48</v>
      </c>
      <c r="M12" s="50" t="n">
        <f aca="false">SUMIFS('Log diário'!$D:$D,'Log diário'!$B:$B,$B$2,'Log diário'!$C:$C,$A12)</f>
        <v>1</v>
      </c>
      <c r="N12" s="52" t="n">
        <f aca="false">SUMIFS('Log diário'!$E:$E,'Log diário'!$B:$B,$B$2,'Log diário'!$C:$C,$A12)</f>
        <v>85.13</v>
      </c>
      <c r="O12" s="50" t="n">
        <f aca="false">G12*Premissas!$C$10</f>
        <v>15.0967741935484</v>
      </c>
      <c r="P12" s="55" t="n">
        <f aca="false">IFERROR(M12/O12,0)</f>
        <v>0.0662393162393162</v>
      </c>
      <c r="Q12" s="50" t="n">
        <f aca="false">IFERROR(M12/Premissas!$C$8*Premissas!$C$7,0)</f>
        <v>10.3333333333333</v>
      </c>
      <c r="R12" s="50" t="n">
        <f aca="false">Q12-G12</f>
        <v>-145.666666666667</v>
      </c>
      <c r="S12" s="56" t="n">
        <f aca="false">IFERROR(MAX(0,G12-M12)/Premissas!$C$9,0)</f>
        <v>5.53571428571429</v>
      </c>
    </row>
    <row r="13" customFormat="false" ht="15" hidden="false" customHeight="false" outlineLevel="0" collapsed="false">
      <c r="A13" s="11" t="s">
        <v>275</v>
      </c>
      <c r="B13" s="12" t="s">
        <v>276</v>
      </c>
      <c r="C13" s="12" t="s">
        <v>270</v>
      </c>
      <c r="D13" s="50" t="n">
        <v>135</v>
      </c>
      <c r="E13" s="51" t="n">
        <f aca="false">IFERROR(D13/$D$31,0)</f>
        <v>0.0579150579150579</v>
      </c>
      <c r="F13" s="30" t="n">
        <v>0</v>
      </c>
      <c r="G13" s="50" t="n">
        <f aca="false">ROUND(D13*(1+$B$4),0)+F13</f>
        <v>155</v>
      </c>
      <c r="H13" s="35" t="n">
        <v>80.48</v>
      </c>
      <c r="I13" s="52" t="n">
        <f aca="false">G13*H13</f>
        <v>12474.4</v>
      </c>
      <c r="J13" s="53" t="n">
        <f aca="false">Premissas!$C$18</f>
        <v>44.3</v>
      </c>
      <c r="K13" s="54" t="n">
        <f aca="false">H13*(1-Premissas!$C$19)*(1-$D$4)*(1-Premissas!$C$20)-J13</f>
        <v>36.18</v>
      </c>
      <c r="L13" s="52" t="n">
        <f aca="false">G13*K13</f>
        <v>5607.9</v>
      </c>
      <c r="M13" s="50" t="n">
        <f aca="false">SUMIFS('Log diário'!$D:$D,'Log diário'!$B:$B,$B$2,'Log diário'!$C:$C,$A13)</f>
        <v>8</v>
      </c>
      <c r="N13" s="52" t="n">
        <f aca="false">SUMIFS('Log diário'!$E:$E,'Log diário'!$B:$B,$B$2,'Log diário'!$C:$C,$A13)</f>
        <v>643.84</v>
      </c>
      <c r="O13" s="50" t="n">
        <f aca="false">G13*Premissas!$C$10</f>
        <v>15</v>
      </c>
      <c r="P13" s="55" t="n">
        <f aca="false">IFERROR(M13/O13,0)</f>
        <v>0.533333333333333</v>
      </c>
      <c r="Q13" s="50" t="n">
        <f aca="false">IFERROR(M13/Premissas!$C$8*Premissas!$C$7,0)</f>
        <v>82.6666666666667</v>
      </c>
      <c r="R13" s="50" t="n">
        <f aca="false">Q13-G13</f>
        <v>-72.3333333333333</v>
      </c>
      <c r="S13" s="56" t="n">
        <f aca="false">IFERROR(MAX(0,G13-M13)/Premissas!$C$9,0)</f>
        <v>5.25</v>
      </c>
    </row>
    <row r="14" customFormat="false" ht="15" hidden="false" customHeight="false" outlineLevel="0" collapsed="false">
      <c r="A14" s="11" t="s">
        <v>268</v>
      </c>
      <c r="B14" s="12" t="s">
        <v>269</v>
      </c>
      <c r="C14" s="12" t="s">
        <v>270</v>
      </c>
      <c r="D14" s="50" t="n">
        <v>86</v>
      </c>
      <c r="E14" s="51" t="n">
        <f aca="false">IFERROR(D14/$D$31,0)</f>
        <v>0.0368940368940369</v>
      </c>
      <c r="F14" s="30" t="n">
        <v>0</v>
      </c>
      <c r="G14" s="50" t="n">
        <f aca="false">ROUND(D14*(1+$B$4),0)+F14</f>
        <v>99</v>
      </c>
      <c r="H14" s="35" t="n">
        <v>85.63</v>
      </c>
      <c r="I14" s="52" t="n">
        <f aca="false">G14*H14</f>
        <v>8477.37</v>
      </c>
      <c r="J14" s="53" t="n">
        <f aca="false">Premissas!$C$18</f>
        <v>44.3</v>
      </c>
      <c r="K14" s="54" t="n">
        <f aca="false">H14*(1-Premissas!$C$19)*(1-$D$4)*(1-Premissas!$C$20)-J14</f>
        <v>41.33</v>
      </c>
      <c r="L14" s="52" t="n">
        <f aca="false">G14*K14</f>
        <v>4091.67</v>
      </c>
      <c r="M14" s="50" t="n">
        <f aca="false">SUMIFS('Log diário'!$D:$D,'Log diário'!$B:$B,$B$2,'Log diário'!$C:$C,$A14)</f>
        <v>6</v>
      </c>
      <c r="N14" s="52" t="n">
        <f aca="false">SUMIFS('Log diário'!$E:$E,'Log diário'!$B:$B,$B$2,'Log diário'!$C:$C,$A14)</f>
        <v>513.78</v>
      </c>
      <c r="O14" s="50" t="n">
        <f aca="false">G14*Premissas!$C$10</f>
        <v>9.58064516129032</v>
      </c>
      <c r="P14" s="55" t="n">
        <f aca="false">IFERROR(M14/O14,0)</f>
        <v>0.626262626262626</v>
      </c>
      <c r="Q14" s="50" t="n">
        <f aca="false">IFERROR(M14/Premissas!$C$8*Premissas!$C$7,0)</f>
        <v>62</v>
      </c>
      <c r="R14" s="50" t="n">
        <f aca="false">Q14-G14</f>
        <v>-37</v>
      </c>
      <c r="S14" s="56" t="n">
        <f aca="false">IFERROR(MAX(0,G14-M14)/Premissas!$C$9,0)</f>
        <v>3.32142857142857</v>
      </c>
    </row>
    <row r="15" customFormat="false" ht="15" hidden="false" customHeight="false" outlineLevel="0" collapsed="false">
      <c r="A15" s="11" t="s">
        <v>273</v>
      </c>
      <c r="B15" s="12" t="s">
        <v>274</v>
      </c>
      <c r="C15" s="12" t="s">
        <v>270</v>
      </c>
      <c r="D15" s="50" t="n">
        <v>51</v>
      </c>
      <c r="E15" s="51" t="n">
        <f aca="false">IFERROR(D15/$D$31,0)</f>
        <v>0.0218790218790219</v>
      </c>
      <c r="F15" s="30" t="n">
        <v>0</v>
      </c>
      <c r="G15" s="50" t="n">
        <f aca="false">ROUND(D15*(1+$B$4),0)+F15</f>
        <v>59</v>
      </c>
      <c r="H15" s="35" t="n">
        <v>75.73</v>
      </c>
      <c r="I15" s="52" t="n">
        <f aca="false">G15*H15</f>
        <v>4468.07</v>
      </c>
      <c r="J15" s="53" t="n">
        <f aca="false">Premissas!$C$18</f>
        <v>44.3</v>
      </c>
      <c r="K15" s="54" t="n">
        <f aca="false">H15*(1-Premissas!$C$19)*(1-$D$4)*(1-Premissas!$C$20)-J15</f>
        <v>31.43</v>
      </c>
      <c r="L15" s="52" t="n">
        <f aca="false">G15*K15</f>
        <v>1854.37</v>
      </c>
      <c r="M15" s="50" t="n">
        <f aca="false">SUMIFS('Log diário'!$D:$D,'Log diário'!$B:$B,$B$2,'Log diário'!$C:$C,$A15)</f>
        <v>2</v>
      </c>
      <c r="N15" s="52" t="n">
        <f aca="false">SUMIFS('Log diário'!$E:$E,'Log diário'!$B:$B,$B$2,'Log diário'!$C:$C,$A15)</f>
        <v>151.46</v>
      </c>
      <c r="O15" s="50" t="n">
        <f aca="false">G15*Premissas!$C$10</f>
        <v>5.70967741935484</v>
      </c>
      <c r="P15" s="55" t="n">
        <f aca="false">IFERROR(M15/O15,0)</f>
        <v>0.350282485875706</v>
      </c>
      <c r="Q15" s="50" t="n">
        <f aca="false">IFERROR(M15/Premissas!$C$8*Premissas!$C$7,0)</f>
        <v>20.6666666666667</v>
      </c>
      <c r="R15" s="50" t="n">
        <f aca="false">Q15-G15</f>
        <v>-38.3333333333333</v>
      </c>
      <c r="S15" s="56" t="n">
        <f aca="false">IFERROR(MAX(0,G15-M15)/Premissas!$C$9,0)</f>
        <v>2.03571428571429</v>
      </c>
    </row>
    <row r="16" customFormat="false" ht="15" hidden="false" customHeight="false" outlineLevel="0" collapsed="false">
      <c r="A16" s="11" t="s">
        <v>285</v>
      </c>
      <c r="B16" s="12" t="s">
        <v>286</v>
      </c>
      <c r="C16" s="12" t="s">
        <v>270</v>
      </c>
      <c r="D16" s="50" t="n">
        <v>51</v>
      </c>
      <c r="E16" s="51" t="n">
        <f aca="false">IFERROR(D16/$D$31,0)</f>
        <v>0.0218790218790219</v>
      </c>
      <c r="F16" s="30" t="n">
        <v>0</v>
      </c>
      <c r="G16" s="50" t="n">
        <f aca="false">ROUND(D16*(1+$B$4),0)+F16</f>
        <v>59</v>
      </c>
      <c r="H16" s="35" t="n">
        <v>84.83</v>
      </c>
      <c r="I16" s="52" t="n">
        <f aca="false">G16*H16</f>
        <v>5004.97</v>
      </c>
      <c r="J16" s="53" t="n">
        <f aca="false">Premissas!$C$18</f>
        <v>44.3</v>
      </c>
      <c r="K16" s="54" t="n">
        <f aca="false">H16*(1-Premissas!$C$19)*(1-$D$4)*(1-Premissas!$C$20)-J16</f>
        <v>40.53</v>
      </c>
      <c r="L16" s="52" t="n">
        <f aca="false">G16*K16</f>
        <v>2391.27</v>
      </c>
      <c r="M16" s="50" t="n">
        <f aca="false">SUMIFS('Log diário'!$D:$D,'Log diário'!$B:$B,$B$2,'Log diário'!$C:$C,$A16)</f>
        <v>3</v>
      </c>
      <c r="N16" s="52" t="n">
        <f aca="false">SUMIFS('Log diário'!$E:$E,'Log diário'!$B:$B,$B$2,'Log diário'!$C:$C,$A16)</f>
        <v>254.49</v>
      </c>
      <c r="O16" s="50" t="n">
        <f aca="false">G16*Premissas!$C$10</f>
        <v>5.70967741935484</v>
      </c>
      <c r="P16" s="55" t="n">
        <f aca="false">IFERROR(M16/O16,0)</f>
        <v>0.525423728813559</v>
      </c>
      <c r="Q16" s="50" t="n">
        <f aca="false">IFERROR(M16/Premissas!$C$8*Premissas!$C$7,0)</f>
        <v>31</v>
      </c>
      <c r="R16" s="50" t="n">
        <f aca="false">Q16-G16</f>
        <v>-28</v>
      </c>
      <c r="S16" s="56" t="n">
        <f aca="false">IFERROR(MAX(0,G16-M16)/Premissas!$C$9,0)</f>
        <v>2</v>
      </c>
    </row>
    <row r="17" customFormat="false" ht="15" hidden="false" customHeight="false" outlineLevel="0" collapsed="false">
      <c r="A17" s="11" t="s">
        <v>279</v>
      </c>
      <c r="B17" s="12" t="s">
        <v>280</v>
      </c>
      <c r="C17" s="12" t="s">
        <v>270</v>
      </c>
      <c r="D17" s="50" t="n">
        <v>45</v>
      </c>
      <c r="E17" s="51" t="n">
        <f aca="false">IFERROR(D17/$D$31,0)</f>
        <v>0.0193050193050193</v>
      </c>
      <c r="F17" s="30" t="n">
        <v>0</v>
      </c>
      <c r="G17" s="50" t="n">
        <f aca="false">ROUND(D17*(1+$B$4),0)+F17</f>
        <v>52</v>
      </c>
      <c r="H17" s="35" t="n">
        <v>111.23</v>
      </c>
      <c r="I17" s="52" t="n">
        <f aca="false">G17*H17</f>
        <v>5783.96</v>
      </c>
      <c r="J17" s="53" t="n">
        <f aca="false">Premissas!$C$18</f>
        <v>44.3</v>
      </c>
      <c r="K17" s="54" t="n">
        <f aca="false">H17*(1-Premissas!$C$19)*(1-$D$4)*(1-Premissas!$C$20)-J17</f>
        <v>66.93</v>
      </c>
      <c r="L17" s="52" t="n">
        <f aca="false">G17*K17</f>
        <v>3480.36</v>
      </c>
      <c r="M17" s="50" t="n">
        <f aca="false">SUMIFS('Log diário'!$D:$D,'Log diário'!$B:$B,$B$2,'Log diário'!$C:$C,$A17)</f>
        <v>0</v>
      </c>
      <c r="N17" s="52" t="n">
        <f aca="false">SUMIFS('Log diário'!$E:$E,'Log diário'!$B:$B,$B$2,'Log diário'!$C:$C,$A17)</f>
        <v>0</v>
      </c>
      <c r="O17" s="50" t="n">
        <f aca="false">G17*Premissas!$C$10</f>
        <v>5.03225806451613</v>
      </c>
      <c r="P17" s="55" t="n">
        <f aca="false">IFERROR(M17/O17,0)</f>
        <v>0</v>
      </c>
      <c r="Q17" s="50" t="n">
        <f aca="false">IFERROR(M17/Premissas!$C$8*Premissas!$C$7,0)</f>
        <v>0</v>
      </c>
      <c r="R17" s="50" t="n">
        <f aca="false">Q17-G17</f>
        <v>-52</v>
      </c>
      <c r="S17" s="56" t="n">
        <f aca="false">IFERROR(MAX(0,G17-M17)/Premissas!$C$9,0)</f>
        <v>1.85714285714286</v>
      </c>
    </row>
    <row r="18" customFormat="false" ht="15" hidden="false" customHeight="false" outlineLevel="0" collapsed="false">
      <c r="A18" s="11" t="s">
        <v>281</v>
      </c>
      <c r="B18" s="12" t="s">
        <v>282</v>
      </c>
      <c r="C18" s="12" t="s">
        <v>270</v>
      </c>
      <c r="D18" s="50" t="n">
        <v>31</v>
      </c>
      <c r="E18" s="51" t="n">
        <f aca="false">IFERROR(D18/$D$31,0)</f>
        <v>0.0132990132990133</v>
      </c>
      <c r="F18" s="30" t="n">
        <v>0</v>
      </c>
      <c r="G18" s="50" t="n">
        <f aca="false">ROUND(D18*(1+$B$4),0)+F18</f>
        <v>36</v>
      </c>
      <c r="H18" s="35" t="n">
        <v>87.72</v>
      </c>
      <c r="I18" s="52" t="n">
        <f aca="false">G18*H18</f>
        <v>3157.92</v>
      </c>
      <c r="J18" s="53" t="n">
        <f aca="false">Premissas!$C$18</f>
        <v>44.3</v>
      </c>
      <c r="K18" s="54" t="n">
        <f aca="false">H18*(1-Premissas!$C$19)*(1-$D$4)*(1-Premissas!$C$20)-J18</f>
        <v>43.42</v>
      </c>
      <c r="L18" s="52" t="n">
        <f aca="false">G18*K18</f>
        <v>1563.12</v>
      </c>
      <c r="M18" s="50" t="n">
        <f aca="false">SUMIFS('Log diário'!$D:$D,'Log diário'!$B:$B,$B$2,'Log diário'!$C:$C,$A18)</f>
        <v>1</v>
      </c>
      <c r="N18" s="52" t="n">
        <f aca="false">SUMIFS('Log diário'!$E:$E,'Log diário'!$B:$B,$B$2,'Log diário'!$C:$C,$A18)</f>
        <v>87.72</v>
      </c>
      <c r="O18" s="50" t="n">
        <f aca="false">G18*Premissas!$C$10</f>
        <v>3.48387096774194</v>
      </c>
      <c r="P18" s="55" t="n">
        <f aca="false">IFERROR(M18/O18,0)</f>
        <v>0.287037037037037</v>
      </c>
      <c r="Q18" s="50" t="n">
        <f aca="false">IFERROR(M18/Premissas!$C$8*Premissas!$C$7,0)</f>
        <v>10.3333333333333</v>
      </c>
      <c r="R18" s="50" t="n">
        <f aca="false">Q18-G18</f>
        <v>-25.6666666666667</v>
      </c>
      <c r="S18" s="56" t="n">
        <f aca="false">IFERROR(MAX(0,G18-M18)/Premissas!$C$9,0)</f>
        <v>1.25</v>
      </c>
    </row>
    <row r="19" customFormat="false" ht="15" hidden="false" customHeight="false" outlineLevel="0" collapsed="false">
      <c r="A19" s="11" t="s">
        <v>301</v>
      </c>
      <c r="B19" s="12" t="s">
        <v>286</v>
      </c>
      <c r="C19" s="12" t="s">
        <v>270</v>
      </c>
      <c r="D19" s="50" t="n">
        <v>27</v>
      </c>
      <c r="E19" s="51" t="n">
        <f aca="false">IFERROR(D19/$D$31,0)</f>
        <v>0.0115830115830116</v>
      </c>
      <c r="F19" s="30" t="n">
        <v>0</v>
      </c>
      <c r="G19" s="50" t="n">
        <f aca="false">ROUND(D19*(1+$B$4),0)+F19</f>
        <v>31</v>
      </c>
      <c r="H19" s="35" t="n">
        <v>89.95</v>
      </c>
      <c r="I19" s="52" t="n">
        <f aca="false">G19*H19</f>
        <v>2788.45</v>
      </c>
      <c r="J19" s="53" t="n">
        <f aca="false">Premissas!$C$18</f>
        <v>44.3</v>
      </c>
      <c r="K19" s="54" t="n">
        <f aca="false">H19*(1-Premissas!$C$19)*(1-$D$4)*(1-Premissas!$C$20)-J19</f>
        <v>45.65</v>
      </c>
      <c r="L19" s="52" t="n">
        <f aca="false">G19*K19</f>
        <v>1415.15</v>
      </c>
      <c r="M19" s="50" t="n">
        <f aca="false">SUMIFS('Log diário'!$D:$D,'Log diário'!$B:$B,$B$2,'Log diário'!$C:$C,$A19)</f>
        <v>2</v>
      </c>
      <c r="N19" s="52" t="n">
        <f aca="false">SUMIFS('Log diário'!$E:$E,'Log diário'!$B:$B,$B$2,'Log diário'!$C:$C,$A19)</f>
        <v>179.9</v>
      </c>
      <c r="O19" s="50" t="n">
        <f aca="false">G19*Premissas!$C$10</f>
        <v>3</v>
      </c>
      <c r="P19" s="55" t="n">
        <f aca="false">IFERROR(M19/O19,0)</f>
        <v>0.666666666666667</v>
      </c>
      <c r="Q19" s="50" t="n">
        <f aca="false">IFERROR(M19/Premissas!$C$8*Premissas!$C$7,0)</f>
        <v>20.6666666666667</v>
      </c>
      <c r="R19" s="50" t="n">
        <f aca="false">Q19-G19</f>
        <v>-10.3333333333333</v>
      </c>
      <c r="S19" s="56" t="n">
        <f aca="false">IFERROR(MAX(0,G19-M19)/Premissas!$C$9,0)</f>
        <v>1.03571428571429</v>
      </c>
    </row>
    <row r="20" customFormat="false" ht="15" hidden="false" customHeight="false" outlineLevel="0" collapsed="false">
      <c r="A20" s="11" t="s">
        <v>283</v>
      </c>
      <c r="B20" s="12" t="s">
        <v>284</v>
      </c>
      <c r="C20" s="12" t="s">
        <v>270</v>
      </c>
      <c r="D20" s="50" t="n">
        <v>24</v>
      </c>
      <c r="E20" s="51" t="n">
        <f aca="false">IFERROR(D20/$D$31,0)</f>
        <v>0.0102960102960103</v>
      </c>
      <c r="F20" s="30" t="n">
        <v>0</v>
      </c>
      <c r="G20" s="50" t="n">
        <f aca="false">ROUND(D20*(1+$B$4),0)+F20</f>
        <v>28</v>
      </c>
      <c r="H20" s="35" t="n">
        <v>86.74</v>
      </c>
      <c r="I20" s="52" t="n">
        <f aca="false">G20*H20</f>
        <v>2428.72</v>
      </c>
      <c r="J20" s="53" t="n">
        <f aca="false">Premissas!$C$18</f>
        <v>44.3</v>
      </c>
      <c r="K20" s="54" t="n">
        <f aca="false">H20*(1-Premissas!$C$19)*(1-$D$4)*(1-Premissas!$C$20)-J20</f>
        <v>42.44</v>
      </c>
      <c r="L20" s="52" t="n">
        <f aca="false">G20*K20</f>
        <v>1188.32</v>
      </c>
      <c r="M20" s="50" t="n">
        <f aca="false">SUMIFS('Log diário'!$D:$D,'Log diário'!$B:$B,$B$2,'Log diário'!$C:$C,$A20)</f>
        <v>1</v>
      </c>
      <c r="N20" s="52" t="n">
        <f aca="false">SUMIFS('Log diário'!$E:$E,'Log diário'!$B:$B,$B$2,'Log diário'!$C:$C,$A20)</f>
        <v>86.74</v>
      </c>
      <c r="O20" s="50" t="n">
        <f aca="false">G20*Premissas!$C$10</f>
        <v>2.70967741935484</v>
      </c>
      <c r="P20" s="55" t="n">
        <f aca="false">IFERROR(M20/O20,0)</f>
        <v>0.369047619047619</v>
      </c>
      <c r="Q20" s="50" t="n">
        <f aca="false">IFERROR(M20/Premissas!$C$8*Premissas!$C$7,0)</f>
        <v>10.3333333333333</v>
      </c>
      <c r="R20" s="50" t="n">
        <f aca="false">Q20-G20</f>
        <v>-17.6666666666667</v>
      </c>
      <c r="S20" s="56" t="n">
        <f aca="false">IFERROR(MAX(0,G20-M20)/Premissas!$C$9,0)</f>
        <v>0.964285714285714</v>
      </c>
    </row>
    <row r="21" customFormat="false" ht="15" hidden="false" customHeight="false" outlineLevel="0" collapsed="false">
      <c r="A21" s="11" t="s">
        <v>307</v>
      </c>
      <c r="B21" s="12" t="s">
        <v>286</v>
      </c>
      <c r="C21" s="12" t="s">
        <v>270</v>
      </c>
      <c r="D21" s="50" t="n">
        <v>24</v>
      </c>
      <c r="E21" s="51" t="n">
        <f aca="false">IFERROR(D21/$D$31,0)</f>
        <v>0.0102960102960103</v>
      </c>
      <c r="F21" s="30" t="n">
        <v>0</v>
      </c>
      <c r="G21" s="50" t="n">
        <f aca="false">ROUND(D21*(1+$B$4),0)+F21</f>
        <v>28</v>
      </c>
      <c r="H21" s="35" t="n">
        <v>47.85</v>
      </c>
      <c r="I21" s="52" t="n">
        <f aca="false">G21*H21</f>
        <v>1339.8</v>
      </c>
      <c r="J21" s="53" t="n">
        <f aca="false">Premissas!$C$18</f>
        <v>44.3</v>
      </c>
      <c r="K21" s="54" t="n">
        <f aca="false">H21*(1-Premissas!$C$19)*(1-$D$4)*(1-Premissas!$C$20)-J21</f>
        <v>3.55</v>
      </c>
      <c r="L21" s="52" t="n">
        <f aca="false">G21*K21</f>
        <v>99.4000000000001</v>
      </c>
      <c r="M21" s="50" t="n">
        <f aca="false">SUMIFS('Log diário'!$D:$D,'Log diário'!$B:$B,$B$2,'Log diário'!$C:$C,$A21)</f>
        <v>0</v>
      </c>
      <c r="N21" s="52" t="n">
        <f aca="false">SUMIFS('Log diário'!$E:$E,'Log diário'!$B:$B,$B$2,'Log diário'!$C:$C,$A21)</f>
        <v>0</v>
      </c>
      <c r="O21" s="50" t="n">
        <f aca="false">G21*Premissas!$C$10</f>
        <v>2.70967741935484</v>
      </c>
      <c r="P21" s="55" t="n">
        <f aca="false">IFERROR(M21/O21,0)</f>
        <v>0</v>
      </c>
      <c r="Q21" s="50" t="n">
        <f aca="false">IFERROR(M21/Premissas!$C$8*Premissas!$C$7,0)</f>
        <v>0</v>
      </c>
      <c r="R21" s="50" t="n">
        <f aca="false">Q21-G21</f>
        <v>-28</v>
      </c>
      <c r="S21" s="56" t="n">
        <f aca="false">IFERROR(MAX(0,G21-M21)/Premissas!$C$9,0)</f>
        <v>1</v>
      </c>
    </row>
    <row r="22" customFormat="false" ht="15" hidden="false" customHeight="false" outlineLevel="0" collapsed="false">
      <c r="A22" s="11" t="s">
        <v>308</v>
      </c>
      <c r="B22" s="12" t="s">
        <v>286</v>
      </c>
      <c r="C22" s="12" t="s">
        <v>270</v>
      </c>
      <c r="D22" s="50" t="n">
        <v>17</v>
      </c>
      <c r="E22" s="51" t="n">
        <f aca="false">IFERROR(D22/$D$31,0)</f>
        <v>0.00729300729300729</v>
      </c>
      <c r="F22" s="30" t="n">
        <v>0</v>
      </c>
      <c r="G22" s="50" t="n">
        <f aca="false">ROUND(D22*(1+$B$4),0)+F22</f>
        <v>20</v>
      </c>
      <c r="H22" s="35" t="n">
        <v>48.84</v>
      </c>
      <c r="I22" s="52" t="n">
        <f aca="false">G22*H22</f>
        <v>976.8</v>
      </c>
      <c r="J22" s="53" t="n">
        <f aca="false">Premissas!$C$18</f>
        <v>44.3</v>
      </c>
      <c r="K22" s="54" t="n">
        <f aca="false">H22*(1-Premissas!$C$19)*(1-$D$4)*(1-Premissas!$C$20)-J22</f>
        <v>4.54000000000001</v>
      </c>
      <c r="L22" s="52" t="n">
        <f aca="false">G22*K22</f>
        <v>90.8000000000001</v>
      </c>
      <c r="M22" s="50" t="n">
        <f aca="false">SUMIFS('Log diário'!$D:$D,'Log diário'!$B:$B,$B$2,'Log diário'!$C:$C,$A22)</f>
        <v>0</v>
      </c>
      <c r="N22" s="52" t="n">
        <f aca="false">SUMIFS('Log diário'!$E:$E,'Log diário'!$B:$B,$B$2,'Log diário'!$C:$C,$A22)</f>
        <v>0</v>
      </c>
      <c r="O22" s="50" t="n">
        <f aca="false">G22*Premissas!$C$10</f>
        <v>1.93548387096774</v>
      </c>
      <c r="P22" s="55" t="n">
        <f aca="false">IFERROR(M22/O22,0)</f>
        <v>0</v>
      </c>
      <c r="Q22" s="50" t="n">
        <f aca="false">IFERROR(M22/Premissas!$C$8*Premissas!$C$7,0)</f>
        <v>0</v>
      </c>
      <c r="R22" s="50" t="n">
        <f aca="false">Q22-G22</f>
        <v>-20</v>
      </c>
      <c r="S22" s="56" t="n">
        <f aca="false">IFERROR(MAX(0,G22-M22)/Premissas!$C$9,0)</f>
        <v>0.714285714285714</v>
      </c>
    </row>
    <row r="23" customFormat="false" ht="15" hidden="false" customHeight="false" outlineLevel="0" collapsed="false">
      <c r="A23" s="11" t="s">
        <v>309</v>
      </c>
      <c r="B23" s="12" t="s">
        <v>286</v>
      </c>
      <c r="C23" s="12" t="s">
        <v>270</v>
      </c>
      <c r="D23" s="50" t="n">
        <v>14</v>
      </c>
      <c r="E23" s="51" t="n">
        <f aca="false">IFERROR(D23/$D$31,0)</f>
        <v>0.00600600600600601</v>
      </c>
      <c r="F23" s="30" t="n">
        <v>0</v>
      </c>
      <c r="G23" s="50" t="n">
        <f aca="false">ROUND(D23*(1+$B$4),0)+F23</f>
        <v>16</v>
      </c>
      <c r="H23" s="35" t="n">
        <v>51</v>
      </c>
      <c r="I23" s="52" t="n">
        <f aca="false">G23*H23</f>
        <v>816</v>
      </c>
      <c r="J23" s="53" t="n">
        <f aca="false">Premissas!$C$18</f>
        <v>44.3</v>
      </c>
      <c r="K23" s="54" t="n">
        <f aca="false">H23*(1-Premissas!$C$19)*(1-$D$4)*(1-Premissas!$C$20)-J23</f>
        <v>6.7</v>
      </c>
      <c r="L23" s="52" t="n">
        <f aca="false">G23*K23</f>
        <v>107.2</v>
      </c>
      <c r="M23" s="50" t="n">
        <f aca="false">SUMIFS('Log diário'!$D:$D,'Log diário'!$B:$B,$B$2,'Log diário'!$C:$C,$A23)</f>
        <v>0</v>
      </c>
      <c r="N23" s="52" t="n">
        <f aca="false">SUMIFS('Log diário'!$E:$E,'Log diário'!$B:$B,$B$2,'Log diário'!$C:$C,$A23)</f>
        <v>0</v>
      </c>
      <c r="O23" s="50" t="n">
        <f aca="false">G23*Premissas!$C$10</f>
        <v>1.54838709677419</v>
      </c>
      <c r="P23" s="55" t="n">
        <f aca="false">IFERROR(M23/O23,0)</f>
        <v>0</v>
      </c>
      <c r="Q23" s="50" t="n">
        <f aca="false">IFERROR(M23/Premissas!$C$8*Premissas!$C$7,0)</f>
        <v>0</v>
      </c>
      <c r="R23" s="50" t="n">
        <f aca="false">Q23-G23</f>
        <v>-16</v>
      </c>
      <c r="S23" s="56" t="n">
        <f aca="false">IFERROR(MAX(0,G23-M23)/Premissas!$C$9,0)</f>
        <v>0.571428571428571</v>
      </c>
    </row>
    <row r="24" customFormat="false" ht="15" hidden="false" customHeight="false" outlineLevel="0" collapsed="false">
      <c r="A24" s="11" t="s">
        <v>310</v>
      </c>
      <c r="B24" s="12" t="s">
        <v>286</v>
      </c>
      <c r="C24" s="12" t="s">
        <v>270</v>
      </c>
      <c r="D24" s="50" t="n">
        <v>14</v>
      </c>
      <c r="E24" s="51" t="n">
        <f aca="false">IFERROR(D24/$D$31,0)</f>
        <v>0.00600600600600601</v>
      </c>
      <c r="F24" s="30" t="n">
        <v>0</v>
      </c>
      <c r="G24" s="50" t="n">
        <f aca="false">ROUND(D24*(1+$B$4),0)+F24</f>
        <v>16</v>
      </c>
      <c r="H24" s="35" t="n">
        <v>49.02</v>
      </c>
      <c r="I24" s="52" t="n">
        <f aca="false">G24*H24</f>
        <v>784.32</v>
      </c>
      <c r="J24" s="53" t="n">
        <f aca="false">Premissas!$C$18</f>
        <v>44.3</v>
      </c>
      <c r="K24" s="54" t="n">
        <f aca="false">H24*(1-Premissas!$C$19)*(1-$D$4)*(1-Premissas!$C$20)-J24</f>
        <v>4.72000000000001</v>
      </c>
      <c r="L24" s="52" t="n">
        <f aca="false">G24*K24</f>
        <v>75.5200000000001</v>
      </c>
      <c r="M24" s="50" t="n">
        <f aca="false">SUMIFS('Log diário'!$D:$D,'Log diário'!$B:$B,$B$2,'Log diário'!$C:$C,$A24)</f>
        <v>0</v>
      </c>
      <c r="N24" s="52" t="n">
        <f aca="false">SUMIFS('Log diário'!$E:$E,'Log diário'!$B:$B,$B$2,'Log diário'!$C:$C,$A24)</f>
        <v>0</v>
      </c>
      <c r="O24" s="50" t="n">
        <f aca="false">G24*Premissas!$C$10</f>
        <v>1.54838709677419</v>
      </c>
      <c r="P24" s="55" t="n">
        <f aca="false">IFERROR(M24/O24,0)</f>
        <v>0</v>
      </c>
      <c r="Q24" s="50" t="n">
        <f aca="false">IFERROR(M24/Premissas!$C$8*Premissas!$C$7,0)</f>
        <v>0</v>
      </c>
      <c r="R24" s="50" t="n">
        <f aca="false">Q24-G24</f>
        <v>-16</v>
      </c>
      <c r="S24" s="56" t="n">
        <f aca="false">IFERROR(MAX(0,G24-M24)/Premissas!$C$9,0)</f>
        <v>0.571428571428571</v>
      </c>
    </row>
    <row r="25" customFormat="false" ht="15" hidden="false" customHeight="false" outlineLevel="0" collapsed="false">
      <c r="A25" s="11" t="s">
        <v>311</v>
      </c>
      <c r="B25" s="12" t="s">
        <v>286</v>
      </c>
      <c r="C25" s="12" t="s">
        <v>270</v>
      </c>
      <c r="D25" s="50" t="n">
        <v>14</v>
      </c>
      <c r="E25" s="51" t="n">
        <f aca="false">IFERROR(D25/$D$31,0)</f>
        <v>0.00600600600600601</v>
      </c>
      <c r="F25" s="30" t="n">
        <v>0</v>
      </c>
      <c r="G25" s="50" t="n">
        <f aca="false">ROUND(D25*(1+$B$4),0)+F25</f>
        <v>16</v>
      </c>
      <c r="H25" s="35" t="n">
        <v>47.92</v>
      </c>
      <c r="I25" s="52" t="n">
        <f aca="false">G25*H25</f>
        <v>766.72</v>
      </c>
      <c r="J25" s="53" t="n">
        <f aca="false">Premissas!$C$18</f>
        <v>44.3</v>
      </c>
      <c r="K25" s="54" t="n">
        <f aca="false">H25*(1-Premissas!$C$19)*(1-$D$4)*(1-Premissas!$C$20)-J25</f>
        <v>3.62</v>
      </c>
      <c r="L25" s="52" t="n">
        <f aca="false">G25*K25</f>
        <v>57.9200000000001</v>
      </c>
      <c r="M25" s="50" t="n">
        <f aca="false">SUMIFS('Log diário'!$D:$D,'Log diário'!$B:$B,$B$2,'Log diário'!$C:$C,$A25)</f>
        <v>0</v>
      </c>
      <c r="N25" s="52" t="n">
        <f aca="false">SUMIFS('Log diário'!$E:$E,'Log diário'!$B:$B,$B$2,'Log diário'!$C:$C,$A25)</f>
        <v>0</v>
      </c>
      <c r="O25" s="50" t="n">
        <f aca="false">G25*Premissas!$C$10</f>
        <v>1.54838709677419</v>
      </c>
      <c r="P25" s="55" t="n">
        <f aca="false">IFERROR(M25/O25,0)</f>
        <v>0</v>
      </c>
      <c r="Q25" s="50" t="n">
        <f aca="false">IFERROR(M25/Premissas!$C$8*Premissas!$C$7,0)</f>
        <v>0</v>
      </c>
      <c r="R25" s="50" t="n">
        <f aca="false">Q25-G25</f>
        <v>-16</v>
      </c>
      <c r="S25" s="56" t="n">
        <f aca="false">IFERROR(MAX(0,G25-M25)/Premissas!$C$9,0)</f>
        <v>0.571428571428571</v>
      </c>
    </row>
    <row r="26" customFormat="false" ht="15" hidden="false" customHeight="false" outlineLevel="0" collapsed="false">
      <c r="A26" s="11" t="s">
        <v>298</v>
      </c>
      <c r="B26" s="12" t="s">
        <v>299</v>
      </c>
      <c r="C26" s="12" t="s">
        <v>270</v>
      </c>
      <c r="D26" s="50" t="n">
        <v>14</v>
      </c>
      <c r="E26" s="51" t="n">
        <f aca="false">IFERROR(D26/$D$31,0)</f>
        <v>0.00600600600600601</v>
      </c>
      <c r="F26" s="30" t="n">
        <v>0</v>
      </c>
      <c r="G26" s="50" t="n">
        <f aca="false">ROUND(D26*(1+$B$4),0)+F26</f>
        <v>16</v>
      </c>
      <c r="H26" s="35" t="n">
        <v>92.7</v>
      </c>
      <c r="I26" s="52" t="n">
        <f aca="false">G26*H26</f>
        <v>1483.2</v>
      </c>
      <c r="J26" s="53" t="n">
        <f aca="false">Premissas!$C$18</f>
        <v>44.3</v>
      </c>
      <c r="K26" s="54" t="n">
        <f aca="false">H26*(1-Premissas!$C$19)*(1-$D$4)*(1-Premissas!$C$20)-J26</f>
        <v>48.4</v>
      </c>
      <c r="L26" s="52" t="n">
        <f aca="false">G26*K26</f>
        <v>774.4</v>
      </c>
      <c r="M26" s="50" t="n">
        <f aca="false">SUMIFS('Log diário'!$D:$D,'Log diário'!$B:$B,$B$2,'Log diário'!$C:$C,$A26)</f>
        <v>1</v>
      </c>
      <c r="N26" s="52" t="n">
        <f aca="false">SUMIFS('Log diário'!$E:$E,'Log diário'!$B:$B,$B$2,'Log diário'!$C:$C,$A26)</f>
        <v>92.7</v>
      </c>
      <c r="O26" s="50" t="n">
        <f aca="false">G26*Premissas!$C$10</f>
        <v>1.54838709677419</v>
      </c>
      <c r="P26" s="55" t="n">
        <f aca="false">IFERROR(M26/O26,0)</f>
        <v>0.645833333333333</v>
      </c>
      <c r="Q26" s="50" t="n">
        <f aca="false">IFERROR(M26/Premissas!$C$8*Premissas!$C$7,0)</f>
        <v>10.3333333333333</v>
      </c>
      <c r="R26" s="50" t="n">
        <f aca="false">Q26-G26</f>
        <v>-5.66666666666667</v>
      </c>
      <c r="S26" s="56" t="n">
        <f aca="false">IFERROR(MAX(0,G26-M26)/Premissas!$C$9,0)</f>
        <v>0.535714285714286</v>
      </c>
    </row>
    <row r="27" customFormat="false" ht="15" hidden="false" customHeight="false" outlineLevel="0" collapsed="false">
      <c r="A27" s="11" t="s">
        <v>312</v>
      </c>
      <c r="B27" s="12" t="s">
        <v>286</v>
      </c>
      <c r="C27" s="12" t="s">
        <v>270</v>
      </c>
      <c r="D27" s="50" t="n">
        <v>13</v>
      </c>
      <c r="E27" s="51" t="n">
        <f aca="false">IFERROR(D27/$D$31,0)</f>
        <v>0.00557700557700558</v>
      </c>
      <c r="F27" s="30" t="n">
        <v>0</v>
      </c>
      <c r="G27" s="50" t="n">
        <f aca="false">ROUND(D27*(1+$B$4),0)+F27</f>
        <v>15</v>
      </c>
      <c r="H27" s="35" t="n">
        <v>87.34</v>
      </c>
      <c r="I27" s="52" t="n">
        <f aca="false">G27*H27</f>
        <v>1310.1</v>
      </c>
      <c r="J27" s="53" t="n">
        <f aca="false">Premissas!$C$18</f>
        <v>44.3</v>
      </c>
      <c r="K27" s="54" t="n">
        <f aca="false">H27*(1-Premissas!$C$19)*(1-$D$4)*(1-Premissas!$C$20)-J27</f>
        <v>43.04</v>
      </c>
      <c r="L27" s="52" t="n">
        <f aca="false">G27*K27</f>
        <v>645.6</v>
      </c>
      <c r="M27" s="50" t="n">
        <f aca="false">SUMIFS('Log diário'!$D:$D,'Log diário'!$B:$B,$B$2,'Log diário'!$C:$C,$A27)</f>
        <v>0</v>
      </c>
      <c r="N27" s="52" t="n">
        <f aca="false">SUMIFS('Log diário'!$E:$E,'Log diário'!$B:$B,$B$2,'Log diário'!$C:$C,$A27)</f>
        <v>0</v>
      </c>
      <c r="O27" s="50" t="n">
        <f aca="false">G27*Premissas!$C$10</f>
        <v>1.45161290322581</v>
      </c>
      <c r="P27" s="55" t="n">
        <f aca="false">IFERROR(M27/O27,0)</f>
        <v>0</v>
      </c>
      <c r="Q27" s="50" t="n">
        <f aca="false">IFERROR(M27/Premissas!$C$8*Premissas!$C$7,0)</f>
        <v>0</v>
      </c>
      <c r="R27" s="50" t="n">
        <f aca="false">Q27-G27</f>
        <v>-15</v>
      </c>
      <c r="S27" s="56" t="n">
        <f aca="false">IFERROR(MAX(0,G27-M27)/Premissas!$C$9,0)</f>
        <v>0.535714285714286</v>
      </c>
    </row>
    <row r="28" customFormat="false" ht="15" hidden="false" customHeight="false" outlineLevel="0" collapsed="false">
      <c r="A28" s="11" t="s">
        <v>313</v>
      </c>
      <c r="B28" s="12" t="s">
        <v>286</v>
      </c>
      <c r="C28" s="12" t="s">
        <v>270</v>
      </c>
      <c r="D28" s="50" t="n">
        <v>11</v>
      </c>
      <c r="E28" s="51" t="n">
        <f aca="false">IFERROR(D28/$D$31,0)</f>
        <v>0.00471900471900472</v>
      </c>
      <c r="F28" s="30" t="n">
        <v>0</v>
      </c>
      <c r="G28" s="50" t="n">
        <f aca="false">ROUND(D28*(1+$B$4),0)+F28</f>
        <v>13</v>
      </c>
      <c r="H28" s="35" t="n">
        <v>49.2</v>
      </c>
      <c r="I28" s="52" t="n">
        <f aca="false">G28*H28</f>
        <v>639.6</v>
      </c>
      <c r="J28" s="53" t="n">
        <f aca="false">Premissas!$C$18</f>
        <v>44.3</v>
      </c>
      <c r="K28" s="54" t="n">
        <f aca="false">H28*(1-Premissas!$C$19)*(1-$D$4)*(1-Premissas!$C$20)-J28</f>
        <v>4.90000000000001</v>
      </c>
      <c r="L28" s="52" t="n">
        <f aca="false">G28*K28</f>
        <v>63.7000000000001</v>
      </c>
      <c r="M28" s="50" t="n">
        <f aca="false">SUMIFS('Log diário'!$D:$D,'Log diário'!$B:$B,$B$2,'Log diário'!$C:$C,$A28)</f>
        <v>0</v>
      </c>
      <c r="N28" s="52" t="n">
        <f aca="false">SUMIFS('Log diário'!$E:$E,'Log diário'!$B:$B,$B$2,'Log diário'!$C:$C,$A28)</f>
        <v>0</v>
      </c>
      <c r="O28" s="50" t="n">
        <f aca="false">G28*Premissas!$C$10</f>
        <v>1.25806451612903</v>
      </c>
      <c r="P28" s="55" t="n">
        <f aca="false">IFERROR(M28/O28,0)</f>
        <v>0</v>
      </c>
      <c r="Q28" s="50" t="n">
        <f aca="false">IFERROR(M28/Premissas!$C$8*Premissas!$C$7,0)</f>
        <v>0</v>
      </c>
      <c r="R28" s="50" t="n">
        <f aca="false">Q28-G28</f>
        <v>-13</v>
      </c>
      <c r="S28" s="56" t="n">
        <f aca="false">IFERROR(MAX(0,G28-M28)/Premissas!$C$9,0)</f>
        <v>0.464285714285714</v>
      </c>
    </row>
    <row r="29" customFormat="false" ht="15" hidden="false" customHeight="false" outlineLevel="0" collapsed="false">
      <c r="A29" s="11" t="s">
        <v>314</v>
      </c>
      <c r="B29" s="12" t="s">
        <v>286</v>
      </c>
      <c r="C29" s="12" t="s">
        <v>270</v>
      </c>
      <c r="D29" s="50" t="n">
        <v>9</v>
      </c>
      <c r="E29" s="51" t="n">
        <f aca="false">IFERROR(D29/$D$31,0)</f>
        <v>0.00386100386100386</v>
      </c>
      <c r="F29" s="30" t="n">
        <v>0</v>
      </c>
      <c r="G29" s="50" t="n">
        <f aca="false">ROUND(D29*(1+$B$4),0)+F29</f>
        <v>10</v>
      </c>
      <c r="H29" s="35" t="n">
        <v>60.03</v>
      </c>
      <c r="I29" s="52" t="n">
        <f aca="false">G29*H29</f>
        <v>600.3</v>
      </c>
      <c r="J29" s="53" t="n">
        <f aca="false">Premissas!$C$18</f>
        <v>44.3</v>
      </c>
      <c r="K29" s="54" t="n">
        <f aca="false">H29*(1-Premissas!$C$19)*(1-$D$4)*(1-Premissas!$C$20)-J29</f>
        <v>15.73</v>
      </c>
      <c r="L29" s="52" t="n">
        <f aca="false">G29*K29</f>
        <v>157.3</v>
      </c>
      <c r="M29" s="50" t="n">
        <f aca="false">SUMIFS('Log diário'!$D:$D,'Log diário'!$B:$B,$B$2,'Log diário'!$C:$C,$A29)</f>
        <v>0</v>
      </c>
      <c r="N29" s="52" t="n">
        <f aca="false">SUMIFS('Log diário'!$E:$E,'Log diário'!$B:$B,$B$2,'Log diário'!$C:$C,$A29)</f>
        <v>0</v>
      </c>
      <c r="O29" s="50" t="n">
        <f aca="false">G29*Premissas!$C$10</f>
        <v>0.967741935483871</v>
      </c>
      <c r="P29" s="55" t="n">
        <f aca="false">IFERROR(M29/O29,0)</f>
        <v>0</v>
      </c>
      <c r="Q29" s="50" t="n">
        <f aca="false">IFERROR(M29/Premissas!$C$8*Premissas!$C$7,0)</f>
        <v>0</v>
      </c>
      <c r="R29" s="50" t="n">
        <f aca="false">Q29-G29</f>
        <v>-10</v>
      </c>
      <c r="S29" s="56" t="n">
        <f aca="false">IFERROR(MAX(0,G29-M29)/Premissas!$C$9,0)</f>
        <v>0.357142857142857</v>
      </c>
    </row>
    <row r="30" customFormat="false" ht="15" hidden="false" customHeight="false" outlineLevel="0" collapsed="false">
      <c r="A30" s="11" t="s">
        <v>287</v>
      </c>
      <c r="B30" s="12" t="s">
        <v>288</v>
      </c>
      <c r="C30" s="12" t="s">
        <v>46</v>
      </c>
      <c r="D30" s="50" t="n">
        <v>78</v>
      </c>
      <c r="E30" s="51" t="n">
        <f aca="false">IFERROR(D30/$D$31,0)</f>
        <v>0.0334620334620335</v>
      </c>
      <c r="F30" s="30" t="n">
        <v>0</v>
      </c>
      <c r="G30" s="50" t="n">
        <f aca="false">ROUND(D30*(1+$B$4),0)+F30</f>
        <v>90</v>
      </c>
      <c r="H30" s="35" t="n">
        <v>76.35</v>
      </c>
      <c r="I30" s="52" t="n">
        <f aca="false">G30*H30</f>
        <v>6871.5</v>
      </c>
      <c r="J30" s="53" t="n">
        <f aca="false">Premissas!$C$18</f>
        <v>44.3</v>
      </c>
      <c r="K30" s="54" t="n">
        <f aca="false">H30*(1-Premissas!$C$19)*(1-$D$4)*(1-Premissas!$C$20)-J30</f>
        <v>32.05</v>
      </c>
      <c r="L30" s="52" t="n">
        <f aca="false">G30*K30</f>
        <v>2884.5</v>
      </c>
      <c r="M30" s="50" t="n">
        <f aca="false">SUMIFS('Log diário'!$D:$D,'Log diário'!$B:$B,$B$2,'Log diário'!$C:$C,$A30)</f>
        <v>0</v>
      </c>
      <c r="N30" s="52" t="n">
        <f aca="false">SUMIFS('Log diário'!$E:$E,'Log diário'!$B:$B,$B$2,'Log diário'!$C:$C,$A30)</f>
        <v>0</v>
      </c>
      <c r="O30" s="50" t="n">
        <f aca="false">G30*Premissas!$C$10</f>
        <v>8.70967741935484</v>
      </c>
      <c r="P30" s="55" t="n">
        <f aca="false">IFERROR(M30/O30,0)</f>
        <v>0</v>
      </c>
      <c r="Q30" s="50" t="n">
        <f aca="false">IFERROR(M30/Premissas!$C$8*Premissas!$C$7,0)</f>
        <v>0</v>
      </c>
      <c r="R30" s="50" t="n">
        <f aca="false">Q30-G30</f>
        <v>-90</v>
      </c>
      <c r="S30" s="56" t="n">
        <f aca="false">IFERROR(MAX(0,G30-M30)/Premissas!$C$9,0)</f>
        <v>3.21428571428571</v>
      </c>
    </row>
    <row r="31" customFormat="false" ht="15" hidden="false" customHeight="false" outlineLevel="0" collapsed="false">
      <c r="A31" s="19" t="s">
        <v>289</v>
      </c>
      <c r="B31" s="19"/>
      <c r="C31" s="19"/>
      <c r="D31" s="20" t="n">
        <f aca="false">SUM(D8:D30)</f>
        <v>2331</v>
      </c>
      <c r="E31" s="23" t="n">
        <f aca="false">SUM(E8:E30)</f>
        <v>1</v>
      </c>
      <c r="F31" s="20" t="n">
        <f aca="false">SUM(F8:F30)</f>
        <v>0</v>
      </c>
      <c r="G31" s="20" t="n">
        <f aca="false">SUM(G8:G30)</f>
        <v>2683</v>
      </c>
      <c r="H31" s="57"/>
      <c r="I31" s="21" t="n">
        <f aca="false">SUM(I8:I30)</f>
        <v>204839.18</v>
      </c>
      <c r="J31" s="57"/>
      <c r="K31" s="57"/>
      <c r="L31" s="21" t="n">
        <f aca="false">SUM(L8:L30)</f>
        <v>85982.28</v>
      </c>
      <c r="M31" s="20" t="n">
        <f aca="false">SUM(M8:M30)</f>
        <v>61</v>
      </c>
      <c r="N31" s="21" t="n">
        <f aca="false">SUM(N8:N30)</f>
        <v>4764.58</v>
      </c>
      <c r="O31" s="20" t="n">
        <f aca="false">SUM(O8:O30)</f>
        <v>259.645161290323</v>
      </c>
      <c r="P31" s="22" t="n">
        <f aca="false">IFERROR(M31/O31,0)</f>
        <v>0.234936016896509</v>
      </c>
      <c r="Q31" s="20" t="n">
        <f aca="false">SUM(Q8:Q30)</f>
        <v>630.333333333333</v>
      </c>
      <c r="R31" s="20" t="n">
        <f aca="false">SUM(R8:R30)</f>
        <v>-2052.66666666667</v>
      </c>
      <c r="S31" s="58" t="n">
        <f aca="false">SUM(S8:S30)</f>
        <v>93.6428571428571</v>
      </c>
    </row>
    <row r="32" customFormat="false" ht="15" hidden="false" customHeight="false" outlineLevel="0" collapsed="false">
      <c r="A32" s="11" t="s">
        <v>290</v>
      </c>
      <c r="B32" s="12"/>
      <c r="C32" s="12"/>
      <c r="D32" s="50" t="n">
        <f aca="false">SUMIFS(D8:D30,$C$8:$C$30,"H")</f>
        <v>1381</v>
      </c>
      <c r="E32" s="12"/>
      <c r="F32" s="12"/>
      <c r="G32" s="50" t="n">
        <f aca="false">SUMIFS(G8:G30,$C$8:$C$30,"H")</f>
        <v>1589</v>
      </c>
      <c r="H32" s="12"/>
      <c r="I32" s="12"/>
      <c r="J32" s="12"/>
      <c r="K32" s="12"/>
      <c r="L32" s="52" t="n">
        <f aca="false">SUMIFS(L8:L30,$C$8:$C$30,"H")</f>
        <v>45759.31</v>
      </c>
    </row>
    <row r="33" customFormat="false" ht="15" hidden="false" customHeight="false" outlineLevel="0" collapsed="false">
      <c r="A33" s="11" t="s">
        <v>291</v>
      </c>
      <c r="B33" s="12"/>
      <c r="C33" s="12"/>
      <c r="D33" s="50" t="n">
        <f aca="false">SUMIFS(D8:D30,$C$8:$C$30,"E")</f>
        <v>872</v>
      </c>
      <c r="E33" s="12"/>
      <c r="F33" s="12"/>
      <c r="G33" s="50" t="n">
        <f aca="false">SUMIFS(G8:G30,$C$8:$C$30,"E")</f>
        <v>1004</v>
      </c>
      <c r="H33" s="12"/>
      <c r="I33" s="12"/>
      <c r="J33" s="12"/>
      <c r="K33" s="12"/>
      <c r="L33" s="52" t="n">
        <f aca="false">SUMIFS(L8:L30,$C$8:$C$30,"E")</f>
        <v>37338.47</v>
      </c>
    </row>
    <row r="35" customFormat="false" ht="15" hidden="false" customHeight="false" outlineLevel="0" collapsed="false">
      <c r="A35" s="9" t="s">
        <v>292</v>
      </c>
    </row>
    <row r="36" customFormat="false" ht="15" hidden="false" customHeight="false" outlineLevel="0" collapsed="false">
      <c r="A36" s="9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5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5" min="14" style="0" width="13"/>
    <col collapsed="false" customWidth="true" hidden="false" outlineLevel="0" max="16" min="16" style="0" width="11"/>
    <col collapsed="false" customWidth="true" hidden="false" outlineLevel="0" max="18" min="17" style="0" width="12"/>
    <col collapsed="false" customWidth="true" hidden="false" outlineLevel="0" max="19" min="19" style="0" width="14"/>
  </cols>
  <sheetData>
    <row r="1" customFormat="false" ht="16.15" hidden="false" customHeight="false" outlineLevel="0" collapsed="false">
      <c r="A1" s="1" t="s">
        <v>315</v>
      </c>
    </row>
    <row r="2" customFormat="false" ht="15" hidden="false" customHeight="false" outlineLevel="0" collapsed="false">
      <c r="A2" s="3" t="s">
        <v>241</v>
      </c>
      <c r="B2" s="27" t="s">
        <v>122</v>
      </c>
      <c r="C2" s="3" t="s">
        <v>242</v>
      </c>
      <c r="D2" s="27" t="s">
        <v>115</v>
      </c>
      <c r="F2" s="3" t="s">
        <v>243</v>
      </c>
      <c r="G2" s="27" t="s">
        <v>120</v>
      </c>
      <c r="I2" s="3" t="s">
        <v>244</v>
      </c>
      <c r="K2" s="59" t="s">
        <v>121</v>
      </c>
    </row>
    <row r="3" customFormat="false" ht="15" hidden="false" customHeight="false" outlineLevel="0" collapsed="false">
      <c r="A3" s="3" t="s">
        <v>245</v>
      </c>
      <c r="B3" s="27" t="s">
        <v>316</v>
      </c>
    </row>
    <row r="4" customFormat="false" ht="15" hidden="false" customHeight="false" outlineLevel="0" collapsed="false">
      <c r="A4" s="3" t="s">
        <v>247</v>
      </c>
      <c r="B4" s="45" t="n">
        <f aca="false">Premissas!$C$29</f>
        <v>0.5</v>
      </c>
      <c r="C4" s="3" t="s">
        <v>248</v>
      </c>
      <c r="D4" s="45" t="n">
        <f aca="false">Premissas!$D$29</f>
        <v>0</v>
      </c>
      <c r="F4" s="3" t="s">
        <v>249</v>
      </c>
      <c r="G4" s="46" t="n">
        <f aca="false">Premissas!$C$18</f>
        <v>44.3</v>
      </c>
    </row>
    <row r="5" customFormat="false" ht="15" hidden="false" customHeight="false" outlineLevel="0" collapsed="false">
      <c r="A5" s="3" t="s">
        <v>250</v>
      </c>
      <c r="B5" s="47" t="n">
        <f aca="false">G11</f>
        <v>101</v>
      </c>
      <c r="C5" s="3" t="s">
        <v>251</v>
      </c>
      <c r="D5" s="48" t="n">
        <f aca="false">I11</f>
        <v>7389.26</v>
      </c>
      <c r="F5" s="3" t="s">
        <v>252</v>
      </c>
      <c r="G5" s="48" t="n">
        <f aca="false">L11</f>
        <v>2914.96</v>
      </c>
      <c r="I5" s="3" t="s">
        <v>253</v>
      </c>
      <c r="K5" s="49" t="n">
        <f aca="false">P11</f>
        <v>0.204620462046205</v>
      </c>
    </row>
    <row r="7" customFormat="false" ht="30" hidden="false" customHeight="true" outlineLevel="0" collapsed="false">
      <c r="A7" s="10" t="s">
        <v>254</v>
      </c>
      <c r="B7" s="10" t="s">
        <v>255</v>
      </c>
      <c r="C7" s="10" t="s">
        <v>256</v>
      </c>
      <c r="D7" s="10" t="s">
        <v>101</v>
      </c>
      <c r="E7" s="10" t="s">
        <v>257</v>
      </c>
      <c r="F7" s="10" t="s">
        <v>258</v>
      </c>
      <c r="G7" s="10" t="s">
        <v>102</v>
      </c>
      <c r="H7" s="10" t="s">
        <v>39</v>
      </c>
      <c r="I7" s="10" t="s">
        <v>103</v>
      </c>
      <c r="J7" s="10" t="s">
        <v>42</v>
      </c>
      <c r="K7" s="10" t="s">
        <v>259</v>
      </c>
      <c r="L7" s="10" t="s">
        <v>104</v>
      </c>
      <c r="M7" s="10" t="s">
        <v>105</v>
      </c>
      <c r="N7" s="10" t="s">
        <v>56</v>
      </c>
      <c r="O7" s="10" t="s">
        <v>60</v>
      </c>
      <c r="P7" s="10" t="s">
        <v>106</v>
      </c>
      <c r="Q7" s="10" t="s">
        <v>64</v>
      </c>
      <c r="R7" s="10" t="s">
        <v>108</v>
      </c>
      <c r="S7" s="10" t="s">
        <v>260</v>
      </c>
    </row>
    <row r="8" customFormat="false" ht="15" hidden="false" customHeight="false" outlineLevel="0" collapsed="false">
      <c r="A8" s="11" t="s">
        <v>261</v>
      </c>
      <c r="B8" s="12" t="s">
        <v>262</v>
      </c>
      <c r="C8" s="12" t="s">
        <v>263</v>
      </c>
      <c r="D8" s="50" t="n">
        <v>24</v>
      </c>
      <c r="E8" s="51" t="n">
        <f aca="false">IFERROR(D8/$D$11,0)</f>
        <v>0.358208955223881</v>
      </c>
      <c r="F8" s="30" t="n">
        <v>0</v>
      </c>
      <c r="G8" s="50" t="n">
        <f aca="false">ROUND(D8*(1+$B$4),0)+F8</f>
        <v>36</v>
      </c>
      <c r="H8" s="35" t="n">
        <v>73.05</v>
      </c>
      <c r="I8" s="52" t="n">
        <f aca="false">G8*H8</f>
        <v>2629.8</v>
      </c>
      <c r="J8" s="53" t="n">
        <f aca="false">Premissas!$C$18</f>
        <v>44.3</v>
      </c>
      <c r="K8" s="54" t="n">
        <f aca="false">H8*(1-Premissas!$C$19)*(1-$D$4)*(1-Premissas!$C$20)-J8</f>
        <v>28.75</v>
      </c>
      <c r="L8" s="52" t="n">
        <f aca="false">G8*K8</f>
        <v>1035</v>
      </c>
      <c r="M8" s="50" t="n">
        <f aca="false">SUMIFS('Log diário'!$D:$D,'Log diário'!$B:$B,$B$2,'Log diário'!$C:$C,$A8)</f>
        <v>0</v>
      </c>
      <c r="N8" s="52" t="n">
        <f aca="false">SUMIFS('Log diário'!$E:$E,'Log diário'!$B:$B,$B$2,'Log diário'!$C:$C,$A8)</f>
        <v>0</v>
      </c>
      <c r="O8" s="50" t="n">
        <f aca="false">G8*Premissas!$C$10</f>
        <v>3.48387096774194</v>
      </c>
      <c r="P8" s="55" t="n">
        <f aca="false">IFERROR(M8/O8,0)</f>
        <v>0</v>
      </c>
      <c r="Q8" s="50" t="n">
        <f aca="false">IFERROR(M8/Premissas!$C$8*Premissas!$C$7,0)</f>
        <v>0</v>
      </c>
      <c r="R8" s="50" t="n">
        <f aca="false">Q8-G8</f>
        <v>-36</v>
      </c>
      <c r="S8" s="56" t="n">
        <f aca="false">IFERROR(MAX(0,G8-M8)/Premissas!$C$9,0)</f>
        <v>1.28571428571429</v>
      </c>
    </row>
    <row r="9" customFormat="false" ht="15" hidden="false" customHeight="false" outlineLevel="0" collapsed="false">
      <c r="A9" s="11" t="s">
        <v>264</v>
      </c>
      <c r="B9" s="12" t="s">
        <v>265</v>
      </c>
      <c r="C9" s="12" t="s">
        <v>263</v>
      </c>
      <c r="D9" s="50" t="n">
        <v>9</v>
      </c>
      <c r="E9" s="51" t="n">
        <f aca="false">IFERROR(D9/$D$11,0)</f>
        <v>0.134328358208955</v>
      </c>
      <c r="F9" s="30" t="n">
        <v>0</v>
      </c>
      <c r="G9" s="50" t="n">
        <f aca="false">ROUND(D9*(1+$B$4),0)+F9</f>
        <v>14</v>
      </c>
      <c r="H9" s="35" t="n">
        <v>73.45</v>
      </c>
      <c r="I9" s="52" t="n">
        <f aca="false">G9*H9</f>
        <v>1028.3</v>
      </c>
      <c r="J9" s="53" t="n">
        <f aca="false">Premissas!$C$18</f>
        <v>44.3</v>
      </c>
      <c r="K9" s="54" t="n">
        <f aca="false">H9*(1-Premissas!$C$19)*(1-$D$4)*(1-Premissas!$C$20)-J9</f>
        <v>29.15</v>
      </c>
      <c r="L9" s="52" t="n">
        <f aca="false">G9*K9</f>
        <v>408.1</v>
      </c>
      <c r="M9" s="50" t="n">
        <f aca="false">SUMIFS('Log diário'!$D:$D,'Log diário'!$B:$B,$B$2,'Log diário'!$C:$C,$A9)</f>
        <v>0</v>
      </c>
      <c r="N9" s="52" t="n">
        <f aca="false">SUMIFS('Log diário'!$E:$E,'Log diário'!$B:$B,$B$2,'Log diário'!$C:$C,$A9)</f>
        <v>0</v>
      </c>
      <c r="O9" s="50" t="n">
        <f aca="false">G9*Premissas!$C$10</f>
        <v>1.35483870967742</v>
      </c>
      <c r="P9" s="55" t="n">
        <f aca="false">IFERROR(M9/O9,0)</f>
        <v>0</v>
      </c>
      <c r="Q9" s="50" t="n">
        <f aca="false">IFERROR(M9/Premissas!$C$8*Premissas!$C$7,0)</f>
        <v>0</v>
      </c>
      <c r="R9" s="50" t="n">
        <f aca="false">Q9-G9</f>
        <v>-14</v>
      </c>
      <c r="S9" s="56" t="n">
        <f aca="false">IFERROR(MAX(0,G9-M9)/Premissas!$C$9,0)</f>
        <v>0.5</v>
      </c>
    </row>
    <row r="10" customFormat="false" ht="15" hidden="false" customHeight="false" outlineLevel="0" collapsed="false">
      <c r="A10" s="11" t="s">
        <v>287</v>
      </c>
      <c r="B10" s="12" t="s">
        <v>288</v>
      </c>
      <c r="C10" s="12" t="s">
        <v>46</v>
      </c>
      <c r="D10" s="50" t="n">
        <v>34</v>
      </c>
      <c r="E10" s="51" t="n">
        <f aca="false">IFERROR(D10/$D$11,0)</f>
        <v>0.507462686567164</v>
      </c>
      <c r="F10" s="30" t="n">
        <v>0</v>
      </c>
      <c r="G10" s="50" t="n">
        <f aca="false">ROUND(D10*(1+$B$4),0)+F10</f>
        <v>51</v>
      </c>
      <c r="H10" s="35" t="n">
        <v>73.16</v>
      </c>
      <c r="I10" s="52" t="n">
        <f aca="false">G10*H10</f>
        <v>3731.16</v>
      </c>
      <c r="J10" s="53" t="n">
        <f aca="false">Premissas!$C$18</f>
        <v>44.3</v>
      </c>
      <c r="K10" s="54" t="n">
        <f aca="false">H10*(1-Premissas!$C$19)*(1-$D$4)*(1-Premissas!$C$20)-J10</f>
        <v>28.86</v>
      </c>
      <c r="L10" s="52" t="n">
        <f aca="false">G10*K10</f>
        <v>1471.86</v>
      </c>
      <c r="M10" s="50" t="n">
        <f aca="false">SUMIFS('Log diário'!$D:$D,'Log diário'!$B:$B,$B$2,'Log diário'!$C:$C,$A10)</f>
        <v>2</v>
      </c>
      <c r="N10" s="52" t="n">
        <f aca="false">SUMIFS('Log diário'!$E:$E,'Log diário'!$B:$B,$B$2,'Log diário'!$C:$C,$A10)</f>
        <v>146.32</v>
      </c>
      <c r="O10" s="50" t="n">
        <f aca="false">G10*Premissas!$C$10</f>
        <v>4.93548387096774</v>
      </c>
      <c r="P10" s="55" t="n">
        <f aca="false">IFERROR(M10/O10,0)</f>
        <v>0.405228758169935</v>
      </c>
      <c r="Q10" s="50" t="n">
        <f aca="false">IFERROR(M10/Premissas!$C$8*Premissas!$C$7,0)</f>
        <v>20.6666666666667</v>
      </c>
      <c r="R10" s="50" t="n">
        <f aca="false">Q10-G10</f>
        <v>-30.3333333333333</v>
      </c>
      <c r="S10" s="56" t="n">
        <f aca="false">IFERROR(MAX(0,G10-M10)/Premissas!$C$9,0)</f>
        <v>1.75</v>
      </c>
    </row>
    <row r="11" customFormat="false" ht="15" hidden="false" customHeight="false" outlineLevel="0" collapsed="false">
      <c r="A11" s="19" t="s">
        <v>289</v>
      </c>
      <c r="B11" s="19"/>
      <c r="C11" s="19"/>
      <c r="D11" s="20" t="n">
        <f aca="false">SUM(D8:D10)</f>
        <v>67</v>
      </c>
      <c r="E11" s="23" t="n">
        <f aca="false">SUM(E8:E10)</f>
        <v>1</v>
      </c>
      <c r="F11" s="20" t="n">
        <f aca="false">SUM(F8:F10)</f>
        <v>0</v>
      </c>
      <c r="G11" s="20" t="n">
        <f aca="false">SUM(G8:G10)</f>
        <v>101</v>
      </c>
      <c r="H11" s="57"/>
      <c r="I11" s="21" t="n">
        <f aca="false">SUM(I8:I10)</f>
        <v>7389.26</v>
      </c>
      <c r="J11" s="57"/>
      <c r="K11" s="57"/>
      <c r="L11" s="21" t="n">
        <f aca="false">SUM(L8:L10)</f>
        <v>2914.96</v>
      </c>
      <c r="M11" s="20" t="n">
        <f aca="false">SUM(M8:M10)</f>
        <v>2</v>
      </c>
      <c r="N11" s="21" t="n">
        <f aca="false">SUM(N8:N10)</f>
        <v>146.32</v>
      </c>
      <c r="O11" s="20" t="n">
        <f aca="false">SUM(O8:O10)</f>
        <v>9.7741935483871</v>
      </c>
      <c r="P11" s="22" t="n">
        <f aca="false">IFERROR(M11/O11,0)</f>
        <v>0.204620462046205</v>
      </c>
      <c r="Q11" s="20" t="n">
        <f aca="false">SUM(Q8:Q10)</f>
        <v>20.6666666666667</v>
      </c>
      <c r="R11" s="20" t="n">
        <f aca="false">SUM(R8:R10)</f>
        <v>-80.3333333333333</v>
      </c>
      <c r="S11" s="58" t="n">
        <f aca="false">SUM(S8:S10)</f>
        <v>3.53571428571429</v>
      </c>
    </row>
    <row r="12" customFormat="false" ht="15" hidden="false" customHeight="false" outlineLevel="0" collapsed="false">
      <c r="A12" s="11" t="s">
        <v>290</v>
      </c>
      <c r="B12" s="12"/>
      <c r="C12" s="12"/>
      <c r="D12" s="50" t="n">
        <f aca="false">SUMIFS(D8:D10,$C$8:$C$10,"H")</f>
        <v>33</v>
      </c>
      <c r="E12" s="12"/>
      <c r="F12" s="12"/>
      <c r="G12" s="50" t="n">
        <f aca="false">SUMIFS(G8:G10,$C$8:$C$10,"H")</f>
        <v>50</v>
      </c>
      <c r="H12" s="12"/>
      <c r="I12" s="12"/>
      <c r="J12" s="12"/>
      <c r="K12" s="12"/>
      <c r="L12" s="52" t="n">
        <f aca="false">SUMIFS(L8:L10,$C$8:$C$10,"H")</f>
        <v>1443.1</v>
      </c>
    </row>
    <row r="13" customFormat="false" ht="15" hidden="false" customHeight="false" outlineLevel="0" collapsed="false">
      <c r="A13" s="11" t="s">
        <v>291</v>
      </c>
      <c r="B13" s="12"/>
      <c r="C13" s="12"/>
      <c r="D13" s="50" t="n">
        <f aca="false">SUMIFS(D8:D10,$C$8:$C$10,"E")</f>
        <v>0</v>
      </c>
      <c r="E13" s="12"/>
      <c r="F13" s="12"/>
      <c r="G13" s="50" t="n">
        <f aca="false">SUMIFS(G8:G10,$C$8:$C$10,"E")</f>
        <v>0</v>
      </c>
      <c r="H13" s="12"/>
      <c r="I13" s="12"/>
      <c r="J13" s="12"/>
      <c r="K13" s="12"/>
      <c r="L13" s="52" t="n">
        <f aca="false">SUMIFS(L8:L10,$C$8:$C$10,"E")</f>
        <v>0</v>
      </c>
    </row>
    <row r="15" customFormat="false" ht="15" hidden="false" customHeight="false" outlineLevel="0" collapsed="false">
      <c r="A15" s="9" t="s">
        <v>292</v>
      </c>
    </row>
    <row r="16" customFormat="false" ht="15" hidden="false" customHeight="false" outlineLevel="0" collapsed="false">
      <c r="A16" s="9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5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5" min="14" style="0" width="13"/>
    <col collapsed="false" customWidth="true" hidden="false" outlineLevel="0" max="16" min="16" style="0" width="11"/>
    <col collapsed="false" customWidth="true" hidden="false" outlineLevel="0" max="18" min="17" style="0" width="12"/>
    <col collapsed="false" customWidth="true" hidden="false" outlineLevel="0" max="19" min="19" style="0" width="14"/>
  </cols>
  <sheetData>
    <row r="1" customFormat="false" ht="16.15" hidden="false" customHeight="false" outlineLevel="0" collapsed="false">
      <c r="A1" s="1" t="s">
        <v>317</v>
      </c>
    </row>
    <row r="2" customFormat="false" ht="15" hidden="false" customHeight="false" outlineLevel="0" collapsed="false">
      <c r="A2" s="3" t="s">
        <v>241</v>
      </c>
      <c r="B2" s="27" t="s">
        <v>123</v>
      </c>
      <c r="C2" s="3" t="s">
        <v>242</v>
      </c>
      <c r="D2" s="27" t="s">
        <v>117</v>
      </c>
      <c r="F2" s="3" t="s">
        <v>243</v>
      </c>
      <c r="G2" s="27" t="s">
        <v>120</v>
      </c>
      <c r="I2" s="3" t="s">
        <v>244</v>
      </c>
      <c r="K2" s="59" t="s">
        <v>121</v>
      </c>
    </row>
    <row r="3" customFormat="false" ht="15" hidden="false" customHeight="false" outlineLevel="0" collapsed="false">
      <c r="A3" s="3" t="s">
        <v>245</v>
      </c>
      <c r="B3" s="27" t="s">
        <v>318</v>
      </c>
    </row>
    <row r="4" customFormat="false" ht="15" hidden="false" customHeight="false" outlineLevel="0" collapsed="false">
      <c r="A4" s="3" t="s">
        <v>247</v>
      </c>
      <c r="B4" s="45" t="n">
        <f aca="false">Premissas!$C$30</f>
        <v>0.2</v>
      </c>
      <c r="C4" s="3" t="s">
        <v>248</v>
      </c>
      <c r="D4" s="45" t="n">
        <f aca="false">Premissas!$D$30</f>
        <v>0</v>
      </c>
      <c r="F4" s="3" t="s">
        <v>249</v>
      </c>
      <c r="G4" s="46" t="n">
        <f aca="false">Premissas!$C$18</f>
        <v>44.3</v>
      </c>
    </row>
    <row r="5" customFormat="false" ht="15" hidden="false" customHeight="false" outlineLevel="0" collapsed="false">
      <c r="A5" s="3" t="s">
        <v>250</v>
      </c>
      <c r="B5" s="47" t="n">
        <f aca="false">G16</f>
        <v>302</v>
      </c>
      <c r="C5" s="3" t="s">
        <v>251</v>
      </c>
      <c r="D5" s="48" t="n">
        <f aca="false">I16</f>
        <v>22965.6</v>
      </c>
      <c r="F5" s="3" t="s">
        <v>252</v>
      </c>
      <c r="G5" s="48" t="n">
        <f aca="false">L16</f>
        <v>9587</v>
      </c>
      <c r="I5" s="3" t="s">
        <v>253</v>
      </c>
      <c r="K5" s="49" t="n">
        <f aca="false">P16</f>
        <v>0.239514348785872</v>
      </c>
    </row>
    <row r="7" customFormat="false" ht="30" hidden="false" customHeight="true" outlineLevel="0" collapsed="false">
      <c r="A7" s="10" t="s">
        <v>254</v>
      </c>
      <c r="B7" s="10" t="s">
        <v>255</v>
      </c>
      <c r="C7" s="10" t="s">
        <v>256</v>
      </c>
      <c r="D7" s="10" t="s">
        <v>101</v>
      </c>
      <c r="E7" s="10" t="s">
        <v>257</v>
      </c>
      <c r="F7" s="10" t="s">
        <v>258</v>
      </c>
      <c r="G7" s="10" t="s">
        <v>102</v>
      </c>
      <c r="H7" s="10" t="s">
        <v>39</v>
      </c>
      <c r="I7" s="10" t="s">
        <v>103</v>
      </c>
      <c r="J7" s="10" t="s">
        <v>42</v>
      </c>
      <c r="K7" s="10" t="s">
        <v>259</v>
      </c>
      <c r="L7" s="10" t="s">
        <v>104</v>
      </c>
      <c r="M7" s="10" t="s">
        <v>105</v>
      </c>
      <c r="N7" s="10" t="s">
        <v>56</v>
      </c>
      <c r="O7" s="10" t="s">
        <v>60</v>
      </c>
      <c r="P7" s="10" t="s">
        <v>106</v>
      </c>
      <c r="Q7" s="10" t="s">
        <v>64</v>
      </c>
      <c r="R7" s="10" t="s">
        <v>108</v>
      </c>
      <c r="S7" s="10" t="s">
        <v>260</v>
      </c>
    </row>
    <row r="8" customFormat="false" ht="15" hidden="false" customHeight="false" outlineLevel="0" collapsed="false">
      <c r="A8" s="11" t="s">
        <v>261</v>
      </c>
      <c r="B8" s="12" t="s">
        <v>262</v>
      </c>
      <c r="C8" s="12" t="s">
        <v>263</v>
      </c>
      <c r="D8" s="50" t="n">
        <v>89</v>
      </c>
      <c r="E8" s="51" t="n">
        <f aca="false">IFERROR(D8/$D$16,0)</f>
        <v>0.353174603174603</v>
      </c>
      <c r="F8" s="30" t="n">
        <v>0</v>
      </c>
      <c r="G8" s="50" t="n">
        <f aca="false">ROUND(D8*(1+$B$4),0)+F8</f>
        <v>107</v>
      </c>
      <c r="H8" s="35" t="n">
        <v>73.05</v>
      </c>
      <c r="I8" s="52" t="n">
        <f aca="false">G8*H8</f>
        <v>7816.35</v>
      </c>
      <c r="J8" s="53" t="n">
        <f aca="false">Premissas!$C$18</f>
        <v>44.3</v>
      </c>
      <c r="K8" s="54" t="n">
        <f aca="false">H8*(1-Premissas!$C$19)*(1-$D$4)*(1-Premissas!$C$20)-J8</f>
        <v>28.75</v>
      </c>
      <c r="L8" s="52" t="n">
        <f aca="false">G8*K8</f>
        <v>3076.25</v>
      </c>
      <c r="M8" s="50" t="n">
        <f aca="false">SUMIFS('Log diário'!$D:$D,'Log diário'!$B:$B,$B$2,'Log diário'!$C:$C,$A8)</f>
        <v>2</v>
      </c>
      <c r="N8" s="52" t="n">
        <f aca="false">SUMIFS('Log diário'!$E:$E,'Log diário'!$B:$B,$B$2,'Log diário'!$C:$C,$A8)</f>
        <v>146.1</v>
      </c>
      <c r="O8" s="50" t="n">
        <f aca="false">G8*Premissas!$C$10</f>
        <v>10.3548387096774</v>
      </c>
      <c r="P8" s="55" t="n">
        <f aca="false">IFERROR(M8/O8,0)</f>
        <v>0.193146417445483</v>
      </c>
      <c r="Q8" s="50" t="n">
        <f aca="false">IFERROR(M8/Premissas!$C$8*Premissas!$C$7,0)</f>
        <v>20.6666666666667</v>
      </c>
      <c r="R8" s="50" t="n">
        <f aca="false">Q8-G8</f>
        <v>-86.3333333333333</v>
      </c>
      <c r="S8" s="56" t="n">
        <f aca="false">IFERROR(MAX(0,G8-M8)/Premissas!$C$9,0)</f>
        <v>3.75</v>
      </c>
    </row>
    <row r="9" customFormat="false" ht="15" hidden="false" customHeight="false" outlineLevel="0" collapsed="false">
      <c r="A9" s="11" t="s">
        <v>264</v>
      </c>
      <c r="B9" s="12" t="s">
        <v>265</v>
      </c>
      <c r="C9" s="12" t="s">
        <v>263</v>
      </c>
      <c r="D9" s="50" t="n">
        <v>35</v>
      </c>
      <c r="E9" s="51" t="n">
        <f aca="false">IFERROR(D9/$D$16,0)</f>
        <v>0.138888888888889</v>
      </c>
      <c r="F9" s="30" t="n">
        <v>0</v>
      </c>
      <c r="G9" s="50" t="n">
        <f aca="false">ROUND(D9*(1+$B$4),0)+F9</f>
        <v>42</v>
      </c>
      <c r="H9" s="35" t="n">
        <v>73.45</v>
      </c>
      <c r="I9" s="52" t="n">
        <f aca="false">G9*H9</f>
        <v>3084.9</v>
      </c>
      <c r="J9" s="53" t="n">
        <f aca="false">Premissas!$C$18</f>
        <v>44.3</v>
      </c>
      <c r="K9" s="54" t="n">
        <f aca="false">H9*(1-Premissas!$C$19)*(1-$D$4)*(1-Premissas!$C$20)-J9</f>
        <v>29.15</v>
      </c>
      <c r="L9" s="52" t="n">
        <f aca="false">G9*K9</f>
        <v>1224.3</v>
      </c>
      <c r="M9" s="50" t="n">
        <f aca="false">SUMIFS('Log diário'!$D:$D,'Log diário'!$B:$B,$B$2,'Log diário'!$C:$C,$A9)</f>
        <v>1</v>
      </c>
      <c r="N9" s="52" t="n">
        <f aca="false">SUMIFS('Log diário'!$E:$E,'Log diário'!$B:$B,$B$2,'Log diário'!$C:$C,$A9)</f>
        <v>73.45</v>
      </c>
      <c r="O9" s="50" t="n">
        <f aca="false">G9*Premissas!$C$10</f>
        <v>4.06451612903226</v>
      </c>
      <c r="P9" s="55" t="n">
        <f aca="false">IFERROR(M9/O9,0)</f>
        <v>0.246031746031746</v>
      </c>
      <c r="Q9" s="50" t="n">
        <f aca="false">IFERROR(M9/Premissas!$C$8*Premissas!$C$7,0)</f>
        <v>10.3333333333333</v>
      </c>
      <c r="R9" s="50" t="n">
        <f aca="false">Q9-G9</f>
        <v>-31.6666666666667</v>
      </c>
      <c r="S9" s="56" t="n">
        <f aca="false">IFERROR(MAX(0,G9-M9)/Premissas!$C$9,0)</f>
        <v>1.46428571428571</v>
      </c>
    </row>
    <row r="10" customFormat="false" ht="15" hidden="false" customHeight="false" outlineLevel="0" collapsed="false">
      <c r="A10" s="11" t="s">
        <v>266</v>
      </c>
      <c r="B10" s="12" t="s">
        <v>267</v>
      </c>
      <c r="C10" s="12" t="s">
        <v>263</v>
      </c>
      <c r="D10" s="50" t="n">
        <v>26</v>
      </c>
      <c r="E10" s="51" t="n">
        <f aca="false">IFERROR(D10/$D$16,0)</f>
        <v>0.103174603174603</v>
      </c>
      <c r="F10" s="30" t="n">
        <v>0</v>
      </c>
      <c r="G10" s="50" t="n">
        <f aca="false">ROUND(D10*(1+$B$4),0)+F10</f>
        <v>31</v>
      </c>
      <c r="H10" s="35" t="n">
        <v>72.79</v>
      </c>
      <c r="I10" s="52" t="n">
        <f aca="false">G10*H10</f>
        <v>2256.49</v>
      </c>
      <c r="J10" s="53" t="n">
        <f aca="false">Premissas!$C$18</f>
        <v>44.3</v>
      </c>
      <c r="K10" s="54" t="n">
        <f aca="false">H10*(1-Premissas!$C$19)*(1-$D$4)*(1-Premissas!$C$20)-J10</f>
        <v>28.49</v>
      </c>
      <c r="L10" s="52" t="n">
        <f aca="false">G10*K10</f>
        <v>883.19</v>
      </c>
      <c r="M10" s="50" t="n">
        <f aca="false">SUMIFS('Log diário'!$D:$D,'Log diário'!$B:$B,$B$2,'Log diário'!$C:$C,$A10)</f>
        <v>1</v>
      </c>
      <c r="N10" s="52" t="n">
        <f aca="false">SUMIFS('Log diário'!$E:$E,'Log diário'!$B:$B,$B$2,'Log diário'!$C:$C,$A10)</f>
        <v>72.79</v>
      </c>
      <c r="O10" s="50" t="n">
        <f aca="false">G10*Premissas!$C$10</f>
        <v>3</v>
      </c>
      <c r="P10" s="55" t="n">
        <f aca="false">IFERROR(M10/O10,0)</f>
        <v>0.333333333333333</v>
      </c>
      <c r="Q10" s="50" t="n">
        <f aca="false">IFERROR(M10/Premissas!$C$8*Premissas!$C$7,0)</f>
        <v>10.3333333333333</v>
      </c>
      <c r="R10" s="50" t="n">
        <f aca="false">Q10-G10</f>
        <v>-20.6666666666667</v>
      </c>
      <c r="S10" s="56" t="n">
        <f aca="false">IFERROR(MAX(0,G10-M10)/Premissas!$C$9,0)</f>
        <v>1.07142857142857</v>
      </c>
    </row>
    <row r="11" customFormat="false" ht="15" hidden="false" customHeight="false" outlineLevel="0" collapsed="false">
      <c r="A11" s="11" t="s">
        <v>271</v>
      </c>
      <c r="B11" s="12" t="s">
        <v>272</v>
      </c>
      <c r="C11" s="12" t="s">
        <v>270</v>
      </c>
      <c r="D11" s="50" t="n">
        <v>17</v>
      </c>
      <c r="E11" s="51" t="n">
        <f aca="false">IFERROR(D11/$D$16,0)</f>
        <v>0.0674603174603175</v>
      </c>
      <c r="F11" s="30" t="n">
        <v>0</v>
      </c>
      <c r="G11" s="50" t="n">
        <f aca="false">ROUND(D11*(1+$B$4),0)+F11</f>
        <v>20</v>
      </c>
      <c r="H11" s="35" t="n">
        <v>85.11</v>
      </c>
      <c r="I11" s="52" t="n">
        <f aca="false">G11*H11</f>
        <v>1702.2</v>
      </c>
      <c r="J11" s="53" t="n">
        <f aca="false">Premissas!$C$18</f>
        <v>44.3</v>
      </c>
      <c r="K11" s="54" t="n">
        <f aca="false">H11*(1-Premissas!$C$19)*(1-$D$4)*(1-Premissas!$C$20)-J11</f>
        <v>40.81</v>
      </c>
      <c r="L11" s="52" t="n">
        <f aca="false">G11*K11</f>
        <v>816.2</v>
      </c>
      <c r="M11" s="50" t="n">
        <f aca="false">SUMIFS('Log diário'!$D:$D,'Log diário'!$B:$B,$B$2,'Log diário'!$C:$C,$A11)</f>
        <v>0</v>
      </c>
      <c r="N11" s="52" t="n">
        <f aca="false">SUMIFS('Log diário'!$E:$E,'Log diário'!$B:$B,$B$2,'Log diário'!$C:$C,$A11)</f>
        <v>0</v>
      </c>
      <c r="O11" s="50" t="n">
        <f aca="false">G11*Premissas!$C$10</f>
        <v>1.93548387096774</v>
      </c>
      <c r="P11" s="55" t="n">
        <f aca="false">IFERROR(M11/O11,0)</f>
        <v>0</v>
      </c>
      <c r="Q11" s="50" t="n">
        <f aca="false">IFERROR(M11/Premissas!$C$8*Premissas!$C$7,0)</f>
        <v>0</v>
      </c>
      <c r="R11" s="50" t="n">
        <f aca="false">Q11-G11</f>
        <v>-20</v>
      </c>
      <c r="S11" s="56" t="n">
        <f aca="false">IFERROR(MAX(0,G11-M11)/Premissas!$C$9,0)</f>
        <v>0.714285714285714</v>
      </c>
    </row>
    <row r="12" customFormat="false" ht="15" hidden="false" customHeight="false" outlineLevel="0" collapsed="false">
      <c r="A12" s="11" t="s">
        <v>277</v>
      </c>
      <c r="B12" s="12" t="s">
        <v>278</v>
      </c>
      <c r="C12" s="12" t="s">
        <v>270</v>
      </c>
      <c r="D12" s="50" t="n">
        <v>15</v>
      </c>
      <c r="E12" s="51" t="n">
        <f aca="false">IFERROR(D12/$D$16,0)</f>
        <v>0.0595238095238095</v>
      </c>
      <c r="F12" s="30" t="n">
        <v>0</v>
      </c>
      <c r="G12" s="50" t="n">
        <f aca="false">ROUND(D12*(1+$B$4),0)+F12</f>
        <v>18</v>
      </c>
      <c r="H12" s="35" t="n">
        <v>85.13</v>
      </c>
      <c r="I12" s="52" t="n">
        <f aca="false">G12*H12</f>
        <v>1532.34</v>
      </c>
      <c r="J12" s="53" t="n">
        <f aca="false">Premissas!$C$18</f>
        <v>44.3</v>
      </c>
      <c r="K12" s="54" t="n">
        <f aca="false">H12*(1-Premissas!$C$19)*(1-$D$4)*(1-Premissas!$C$20)-J12</f>
        <v>40.83</v>
      </c>
      <c r="L12" s="52" t="n">
        <f aca="false">G12*K12</f>
        <v>734.94</v>
      </c>
      <c r="M12" s="50" t="n">
        <f aca="false">SUMIFS('Log diário'!$D:$D,'Log diário'!$B:$B,$B$2,'Log diário'!$C:$C,$A12)</f>
        <v>0</v>
      </c>
      <c r="N12" s="52" t="n">
        <f aca="false">SUMIFS('Log diário'!$E:$E,'Log diário'!$B:$B,$B$2,'Log diário'!$C:$C,$A12)</f>
        <v>0</v>
      </c>
      <c r="O12" s="50" t="n">
        <f aca="false">G12*Premissas!$C$10</f>
        <v>1.74193548387097</v>
      </c>
      <c r="P12" s="55" t="n">
        <f aca="false">IFERROR(M12/O12,0)</f>
        <v>0</v>
      </c>
      <c r="Q12" s="50" t="n">
        <f aca="false">IFERROR(M12/Premissas!$C$8*Premissas!$C$7,0)</f>
        <v>0</v>
      </c>
      <c r="R12" s="50" t="n">
        <f aca="false">Q12-G12</f>
        <v>-18</v>
      </c>
      <c r="S12" s="56" t="n">
        <f aca="false">IFERROR(MAX(0,G12-M12)/Premissas!$C$9,0)</f>
        <v>0.642857142857143</v>
      </c>
    </row>
    <row r="13" customFormat="false" ht="15" hidden="false" customHeight="false" outlineLevel="0" collapsed="false">
      <c r="A13" s="11" t="s">
        <v>275</v>
      </c>
      <c r="B13" s="12" t="s">
        <v>276</v>
      </c>
      <c r="C13" s="12" t="s">
        <v>270</v>
      </c>
      <c r="D13" s="50" t="n">
        <v>15</v>
      </c>
      <c r="E13" s="51" t="n">
        <f aca="false">IFERROR(D13/$D$16,0)</f>
        <v>0.0595238095238095</v>
      </c>
      <c r="F13" s="30" t="n">
        <v>0</v>
      </c>
      <c r="G13" s="50" t="n">
        <f aca="false">ROUND(D13*(1+$B$4),0)+F13</f>
        <v>18</v>
      </c>
      <c r="H13" s="35" t="n">
        <v>80.48</v>
      </c>
      <c r="I13" s="52" t="n">
        <f aca="false">G13*H13</f>
        <v>1448.64</v>
      </c>
      <c r="J13" s="53" t="n">
        <f aca="false">Premissas!$C$18</f>
        <v>44.3</v>
      </c>
      <c r="K13" s="54" t="n">
        <f aca="false">H13*(1-Premissas!$C$19)*(1-$D$4)*(1-Premissas!$C$20)-J13</f>
        <v>36.18</v>
      </c>
      <c r="L13" s="52" t="n">
        <f aca="false">G13*K13</f>
        <v>651.24</v>
      </c>
      <c r="M13" s="50" t="n">
        <f aca="false">SUMIFS('Log diário'!$D:$D,'Log diário'!$B:$B,$B$2,'Log diário'!$C:$C,$A13)</f>
        <v>1</v>
      </c>
      <c r="N13" s="52" t="n">
        <f aca="false">SUMIFS('Log diário'!$E:$E,'Log diário'!$B:$B,$B$2,'Log diário'!$C:$C,$A13)</f>
        <v>80.48</v>
      </c>
      <c r="O13" s="50" t="n">
        <f aca="false">G13*Premissas!$C$10</f>
        <v>1.74193548387097</v>
      </c>
      <c r="P13" s="55" t="n">
        <f aca="false">IFERROR(M13/O13,0)</f>
        <v>0.574074074074074</v>
      </c>
      <c r="Q13" s="50" t="n">
        <f aca="false">IFERROR(M13/Premissas!$C$8*Premissas!$C$7,0)</f>
        <v>10.3333333333333</v>
      </c>
      <c r="R13" s="50" t="n">
        <f aca="false">Q13-G13</f>
        <v>-7.66666666666667</v>
      </c>
      <c r="S13" s="56" t="n">
        <f aca="false">IFERROR(MAX(0,G13-M13)/Premissas!$C$9,0)</f>
        <v>0.607142857142857</v>
      </c>
    </row>
    <row r="14" customFormat="false" ht="15" hidden="false" customHeight="false" outlineLevel="0" collapsed="false">
      <c r="A14" s="11" t="s">
        <v>268</v>
      </c>
      <c r="B14" s="12" t="s">
        <v>269</v>
      </c>
      <c r="C14" s="12" t="s">
        <v>270</v>
      </c>
      <c r="D14" s="50" t="n">
        <v>9</v>
      </c>
      <c r="E14" s="51" t="n">
        <f aca="false">IFERROR(D14/$D$16,0)</f>
        <v>0.0357142857142857</v>
      </c>
      <c r="F14" s="30" t="n">
        <v>0</v>
      </c>
      <c r="G14" s="50" t="n">
        <f aca="false">ROUND(D14*(1+$B$4),0)+F14</f>
        <v>11</v>
      </c>
      <c r="H14" s="35" t="n">
        <v>85.63</v>
      </c>
      <c r="I14" s="52" t="n">
        <f aca="false">G14*H14</f>
        <v>941.93</v>
      </c>
      <c r="J14" s="53" t="n">
        <f aca="false">Premissas!$C$18</f>
        <v>44.3</v>
      </c>
      <c r="K14" s="54" t="n">
        <f aca="false">H14*(1-Premissas!$C$19)*(1-$D$4)*(1-Premissas!$C$20)-J14</f>
        <v>41.33</v>
      </c>
      <c r="L14" s="52" t="n">
        <f aca="false">G14*K14</f>
        <v>454.63</v>
      </c>
      <c r="M14" s="50" t="n">
        <f aca="false">SUMIFS('Log diário'!$D:$D,'Log diário'!$B:$B,$B$2,'Log diário'!$C:$C,$A14)</f>
        <v>1</v>
      </c>
      <c r="N14" s="52" t="n">
        <f aca="false">SUMIFS('Log diário'!$E:$E,'Log diário'!$B:$B,$B$2,'Log diário'!$C:$C,$A14)</f>
        <v>85.63</v>
      </c>
      <c r="O14" s="50" t="n">
        <f aca="false">G14*Premissas!$C$10</f>
        <v>1.06451612903226</v>
      </c>
      <c r="P14" s="55" t="n">
        <f aca="false">IFERROR(M14/O14,0)</f>
        <v>0.939393939393939</v>
      </c>
      <c r="Q14" s="50" t="n">
        <f aca="false">IFERROR(M14/Premissas!$C$8*Premissas!$C$7,0)</f>
        <v>10.3333333333333</v>
      </c>
      <c r="R14" s="50" t="n">
        <f aca="false">Q14-G14</f>
        <v>-0.666666666666668</v>
      </c>
      <c r="S14" s="56" t="n">
        <f aca="false">IFERROR(MAX(0,G14-M14)/Premissas!$C$9,0)</f>
        <v>0.357142857142857</v>
      </c>
    </row>
    <row r="15" customFormat="false" ht="15" hidden="false" customHeight="false" outlineLevel="0" collapsed="false">
      <c r="A15" s="11" t="s">
        <v>287</v>
      </c>
      <c r="B15" s="12" t="s">
        <v>288</v>
      </c>
      <c r="C15" s="12" t="s">
        <v>46</v>
      </c>
      <c r="D15" s="50" t="n">
        <v>46</v>
      </c>
      <c r="E15" s="51" t="n">
        <f aca="false">IFERROR(D15/$D$16,0)</f>
        <v>0.182539682539683</v>
      </c>
      <c r="F15" s="30" t="n">
        <v>0</v>
      </c>
      <c r="G15" s="50" t="n">
        <f aca="false">ROUND(D15*(1+$B$4),0)+F15</f>
        <v>55</v>
      </c>
      <c r="H15" s="35" t="n">
        <v>76.05</v>
      </c>
      <c r="I15" s="52" t="n">
        <f aca="false">G15*H15</f>
        <v>4182.75</v>
      </c>
      <c r="J15" s="53" t="n">
        <f aca="false">Premissas!$C$18</f>
        <v>44.3</v>
      </c>
      <c r="K15" s="54" t="n">
        <f aca="false">H15*(1-Premissas!$C$19)*(1-$D$4)*(1-Premissas!$C$20)-J15</f>
        <v>31.75</v>
      </c>
      <c r="L15" s="52" t="n">
        <f aca="false">G15*K15</f>
        <v>1746.25</v>
      </c>
      <c r="M15" s="50" t="n">
        <f aca="false">SUMIFS('Log diário'!$D:$D,'Log diário'!$B:$B,$B$2,'Log diário'!$C:$C,$A15)</f>
        <v>1</v>
      </c>
      <c r="N15" s="52" t="n">
        <f aca="false">SUMIFS('Log diário'!$E:$E,'Log diário'!$B:$B,$B$2,'Log diário'!$C:$C,$A15)</f>
        <v>76.05</v>
      </c>
      <c r="O15" s="50" t="n">
        <f aca="false">G15*Premissas!$C$10</f>
        <v>5.32258064516129</v>
      </c>
      <c r="P15" s="55" t="n">
        <f aca="false">IFERROR(M15/O15,0)</f>
        <v>0.187878787878788</v>
      </c>
      <c r="Q15" s="50" t="n">
        <f aca="false">IFERROR(M15/Premissas!$C$8*Premissas!$C$7,0)</f>
        <v>10.3333333333333</v>
      </c>
      <c r="R15" s="50" t="n">
        <f aca="false">Q15-G15</f>
        <v>-44.6666666666667</v>
      </c>
      <c r="S15" s="56" t="n">
        <f aca="false">IFERROR(MAX(0,G15-M15)/Premissas!$C$9,0)</f>
        <v>1.92857142857143</v>
      </c>
    </row>
    <row r="16" customFormat="false" ht="15" hidden="false" customHeight="false" outlineLevel="0" collapsed="false">
      <c r="A16" s="19" t="s">
        <v>289</v>
      </c>
      <c r="B16" s="19"/>
      <c r="C16" s="19"/>
      <c r="D16" s="20" t="n">
        <f aca="false">SUM(D8:D15)</f>
        <v>252</v>
      </c>
      <c r="E16" s="23" t="n">
        <f aca="false">SUM(E8:E15)</f>
        <v>1</v>
      </c>
      <c r="F16" s="20" t="n">
        <f aca="false">SUM(F8:F15)</f>
        <v>0</v>
      </c>
      <c r="G16" s="20" t="n">
        <f aca="false">SUM(G8:G15)</f>
        <v>302</v>
      </c>
      <c r="H16" s="57"/>
      <c r="I16" s="21" t="n">
        <f aca="false">SUM(I8:I15)</f>
        <v>22965.6</v>
      </c>
      <c r="J16" s="57"/>
      <c r="K16" s="57"/>
      <c r="L16" s="21" t="n">
        <f aca="false">SUM(L8:L15)</f>
        <v>9587</v>
      </c>
      <c r="M16" s="20" t="n">
        <f aca="false">SUM(M8:M15)</f>
        <v>7</v>
      </c>
      <c r="N16" s="21" t="n">
        <f aca="false">SUM(N8:N15)</f>
        <v>534.5</v>
      </c>
      <c r="O16" s="20" t="n">
        <f aca="false">SUM(O8:O15)</f>
        <v>29.2258064516129</v>
      </c>
      <c r="P16" s="22" t="n">
        <f aca="false">IFERROR(M16/O16,0)</f>
        <v>0.239514348785872</v>
      </c>
      <c r="Q16" s="20" t="n">
        <f aca="false">SUM(Q8:Q15)</f>
        <v>72.3333333333333</v>
      </c>
      <c r="R16" s="20" t="n">
        <f aca="false">SUM(R8:R15)</f>
        <v>-229.666666666667</v>
      </c>
      <c r="S16" s="58" t="n">
        <f aca="false">SUM(S8:S15)</f>
        <v>10.5357142857143</v>
      </c>
    </row>
    <row r="17" customFormat="false" ht="15" hidden="false" customHeight="false" outlineLevel="0" collapsed="false">
      <c r="A17" s="11" t="s">
        <v>290</v>
      </c>
      <c r="B17" s="12"/>
      <c r="C17" s="12"/>
      <c r="D17" s="50" t="n">
        <f aca="false">SUMIFS(D8:D15,$C$8:$C$15,"H")</f>
        <v>150</v>
      </c>
      <c r="E17" s="12"/>
      <c r="F17" s="12"/>
      <c r="G17" s="50" t="n">
        <f aca="false">SUMIFS(G8:G15,$C$8:$C$15,"H")</f>
        <v>180</v>
      </c>
      <c r="H17" s="12"/>
      <c r="I17" s="12"/>
      <c r="J17" s="12"/>
      <c r="K17" s="12"/>
      <c r="L17" s="52" t="n">
        <f aca="false">SUMIFS(L8:L15,$C$8:$C$15,"H")</f>
        <v>5183.74</v>
      </c>
    </row>
    <row r="18" customFormat="false" ht="15" hidden="false" customHeight="false" outlineLevel="0" collapsed="false">
      <c r="A18" s="11" t="s">
        <v>291</v>
      </c>
      <c r="B18" s="12"/>
      <c r="C18" s="12"/>
      <c r="D18" s="50" t="n">
        <f aca="false">SUMIFS(D8:D15,$C$8:$C$15,"E")</f>
        <v>56</v>
      </c>
      <c r="E18" s="12"/>
      <c r="F18" s="12"/>
      <c r="G18" s="50" t="n">
        <f aca="false">SUMIFS(G8:G15,$C$8:$C$15,"E")</f>
        <v>67</v>
      </c>
      <c r="H18" s="12"/>
      <c r="I18" s="12"/>
      <c r="J18" s="12"/>
      <c r="K18" s="12"/>
      <c r="L18" s="52" t="n">
        <f aca="false">SUMIFS(L8:L15,$C$8:$C$15,"E")</f>
        <v>2657.01</v>
      </c>
    </row>
    <row r="20" customFormat="false" ht="15" hidden="false" customHeight="false" outlineLevel="0" collapsed="false">
      <c r="A20" s="9" t="s">
        <v>292</v>
      </c>
    </row>
    <row r="21" customFormat="false" ht="15" hidden="false" customHeight="false" outlineLevel="0" collapsed="false">
      <c r="A21" s="9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5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5" min="14" style="0" width="13"/>
    <col collapsed="false" customWidth="true" hidden="false" outlineLevel="0" max="16" min="16" style="0" width="11"/>
    <col collapsed="false" customWidth="true" hidden="false" outlineLevel="0" max="18" min="17" style="0" width="12"/>
    <col collapsed="false" customWidth="true" hidden="false" outlineLevel="0" max="19" min="19" style="0" width="14"/>
  </cols>
  <sheetData>
    <row r="1" customFormat="false" ht="16.15" hidden="false" customHeight="false" outlineLevel="0" collapsed="false">
      <c r="A1" s="1" t="s">
        <v>319</v>
      </c>
    </row>
    <row r="2" customFormat="false" ht="15" hidden="false" customHeight="false" outlineLevel="0" collapsed="false">
      <c r="A2" s="3" t="s">
        <v>241</v>
      </c>
      <c r="B2" s="27" t="s">
        <v>124</v>
      </c>
      <c r="C2" s="3" t="s">
        <v>242</v>
      </c>
      <c r="D2" s="27" t="s">
        <v>125</v>
      </c>
      <c r="F2" s="3" t="s">
        <v>243</v>
      </c>
      <c r="G2" s="27" t="s">
        <v>120</v>
      </c>
      <c r="I2" s="3" t="s">
        <v>244</v>
      </c>
      <c r="K2" s="59" t="s">
        <v>126</v>
      </c>
    </row>
    <row r="3" customFormat="false" ht="15" hidden="false" customHeight="false" outlineLevel="0" collapsed="false">
      <c r="A3" s="3" t="s">
        <v>245</v>
      </c>
      <c r="B3" s="27" t="s">
        <v>320</v>
      </c>
    </row>
    <row r="4" customFormat="false" ht="15" hidden="false" customHeight="false" outlineLevel="0" collapsed="false">
      <c r="A4" s="3" t="s">
        <v>247</v>
      </c>
      <c r="B4" s="45" t="n">
        <f aca="false">Premissas!$C$31</f>
        <v>0</v>
      </c>
      <c r="C4" s="3" t="s">
        <v>248</v>
      </c>
      <c r="D4" s="45" t="n">
        <f aca="false">Premissas!$D$31</f>
        <v>0</v>
      </c>
      <c r="F4" s="3" t="s">
        <v>249</v>
      </c>
      <c r="G4" s="46" t="n">
        <f aca="false">Premissas!$C$18</f>
        <v>44.3</v>
      </c>
    </row>
    <row r="5" customFormat="false" ht="15" hidden="false" customHeight="false" outlineLevel="0" collapsed="false">
      <c r="A5" s="3" t="s">
        <v>250</v>
      </c>
      <c r="B5" s="47" t="n">
        <f aca="false">G9</f>
        <v>0</v>
      </c>
      <c r="C5" s="3" t="s">
        <v>251</v>
      </c>
      <c r="D5" s="48" t="n">
        <f aca="false">I9</f>
        <v>0</v>
      </c>
      <c r="F5" s="3" t="s">
        <v>252</v>
      </c>
      <c r="G5" s="48" t="n">
        <f aca="false">L9</f>
        <v>0</v>
      </c>
      <c r="I5" s="3" t="s">
        <v>253</v>
      </c>
      <c r="K5" s="49" t="n">
        <f aca="false">P9</f>
        <v>0</v>
      </c>
    </row>
    <row r="7" customFormat="false" ht="30" hidden="false" customHeight="true" outlineLevel="0" collapsed="false">
      <c r="A7" s="10" t="s">
        <v>254</v>
      </c>
      <c r="B7" s="10" t="s">
        <v>255</v>
      </c>
      <c r="C7" s="10" t="s">
        <v>256</v>
      </c>
      <c r="D7" s="10" t="s">
        <v>101</v>
      </c>
      <c r="E7" s="10" t="s">
        <v>257</v>
      </c>
      <c r="F7" s="10" t="s">
        <v>258</v>
      </c>
      <c r="G7" s="10" t="s">
        <v>102</v>
      </c>
      <c r="H7" s="10" t="s">
        <v>39</v>
      </c>
      <c r="I7" s="10" t="s">
        <v>103</v>
      </c>
      <c r="J7" s="10" t="s">
        <v>42</v>
      </c>
      <c r="K7" s="10" t="s">
        <v>259</v>
      </c>
      <c r="L7" s="10" t="s">
        <v>104</v>
      </c>
      <c r="M7" s="10" t="s">
        <v>105</v>
      </c>
      <c r="N7" s="10" t="s">
        <v>56</v>
      </c>
      <c r="O7" s="10" t="s">
        <v>60</v>
      </c>
      <c r="P7" s="10" t="s">
        <v>106</v>
      </c>
      <c r="Q7" s="10" t="s">
        <v>64</v>
      </c>
      <c r="R7" s="10" t="s">
        <v>108</v>
      </c>
      <c r="S7" s="10" t="s">
        <v>260</v>
      </c>
    </row>
    <row r="8" customFormat="false" ht="15" hidden="false" customHeight="false" outlineLevel="0" collapsed="false">
      <c r="A8" s="11" t="s">
        <v>46</v>
      </c>
      <c r="B8" s="12" t="s">
        <v>304</v>
      </c>
      <c r="C8" s="12" t="s">
        <v>46</v>
      </c>
      <c r="D8" s="50" t="n">
        <v>0</v>
      </c>
      <c r="E8" s="51" t="n">
        <f aca="false">IFERROR(D8/$D$9,0)</f>
        <v>0</v>
      </c>
      <c r="F8" s="30" t="n">
        <v>0</v>
      </c>
      <c r="G8" s="50" t="n">
        <f aca="false">ROUND(D8*(1+$B$4),0)+F8</f>
        <v>0</v>
      </c>
      <c r="H8" s="35" t="n">
        <v>0</v>
      </c>
      <c r="I8" s="52" t="n">
        <f aca="false">G8*H8</f>
        <v>0</v>
      </c>
      <c r="J8" s="53" t="n">
        <f aca="false">Premissas!$C$18</f>
        <v>44.3</v>
      </c>
      <c r="K8" s="54" t="n">
        <f aca="false">H8*(1-Premissas!$C$19)*(1-$D$4)*(1-Premissas!$C$20)-J8</f>
        <v>-44.3</v>
      </c>
      <c r="L8" s="52" t="n">
        <f aca="false">G8*K8</f>
        <v>-0</v>
      </c>
      <c r="M8" s="50" t="n">
        <f aca="false">SUMIFS('Log diário'!$D:$D,'Log diário'!$B:$B,$B$2,'Log diário'!$C:$C,$A8)</f>
        <v>0</v>
      </c>
      <c r="N8" s="52" t="n">
        <f aca="false">SUMIFS('Log diário'!$E:$E,'Log diário'!$B:$B,$B$2,'Log diário'!$C:$C,$A8)</f>
        <v>0</v>
      </c>
      <c r="O8" s="50" t="n">
        <f aca="false">G8*Premissas!$C$10</f>
        <v>0</v>
      </c>
      <c r="P8" s="55" t="n">
        <f aca="false">IFERROR(M8/O8,0)</f>
        <v>0</v>
      </c>
      <c r="Q8" s="50" t="n">
        <f aca="false">IFERROR(M8/Premissas!$C$8*Premissas!$C$7,0)</f>
        <v>0</v>
      </c>
      <c r="R8" s="50" t="n">
        <f aca="false">Q8-G8</f>
        <v>0</v>
      </c>
      <c r="S8" s="56" t="n">
        <f aca="false">IFERROR(MAX(0,G8-M8)/Premissas!$C$9,0)</f>
        <v>0</v>
      </c>
    </row>
    <row r="9" customFormat="false" ht="15" hidden="false" customHeight="false" outlineLevel="0" collapsed="false">
      <c r="A9" s="19" t="s">
        <v>289</v>
      </c>
      <c r="B9" s="19"/>
      <c r="C9" s="19"/>
      <c r="D9" s="20" t="n">
        <f aca="false">SUM(D8:D8)</f>
        <v>0</v>
      </c>
      <c r="E9" s="23" t="n">
        <f aca="false">SUM(E8:E8)</f>
        <v>0</v>
      </c>
      <c r="F9" s="20" t="n">
        <f aca="false">SUM(F8:F8)</f>
        <v>0</v>
      </c>
      <c r="G9" s="20" t="n">
        <f aca="false">SUM(G8:G8)</f>
        <v>0</v>
      </c>
      <c r="H9" s="57"/>
      <c r="I9" s="21" t="n">
        <f aca="false">SUM(I8:I8)</f>
        <v>0</v>
      </c>
      <c r="J9" s="57"/>
      <c r="K9" s="57"/>
      <c r="L9" s="21" t="n">
        <f aca="false">SUM(L8:L8)</f>
        <v>0</v>
      </c>
      <c r="M9" s="20" t="n">
        <f aca="false">SUM(M8:M8)</f>
        <v>0</v>
      </c>
      <c r="N9" s="21" t="n">
        <f aca="false">SUM(N8:N8)</f>
        <v>0</v>
      </c>
      <c r="O9" s="20" t="n">
        <f aca="false">SUM(O8:O8)</f>
        <v>0</v>
      </c>
      <c r="P9" s="22" t="n">
        <f aca="false">IFERROR(M9/O9,0)</f>
        <v>0</v>
      </c>
      <c r="Q9" s="20" t="n">
        <f aca="false">SUM(Q8:Q8)</f>
        <v>0</v>
      </c>
      <c r="R9" s="20" t="n">
        <f aca="false">SUM(R8:R8)</f>
        <v>0</v>
      </c>
      <c r="S9" s="58" t="n">
        <f aca="false">SUM(S8:S8)</f>
        <v>0</v>
      </c>
    </row>
    <row r="10" customFormat="false" ht="15" hidden="false" customHeight="false" outlineLevel="0" collapsed="false">
      <c r="A10" s="11" t="s">
        <v>290</v>
      </c>
      <c r="B10" s="12"/>
      <c r="C10" s="12"/>
      <c r="D10" s="50" t="n">
        <f aca="false">SUMIFS(D8:D8,$C$8:$C$8,"H")</f>
        <v>0</v>
      </c>
      <c r="E10" s="12"/>
      <c r="F10" s="12"/>
      <c r="G10" s="50" t="n">
        <f aca="false">SUMIFS(G8:G8,$C$8:$C$8,"H")</f>
        <v>0</v>
      </c>
      <c r="H10" s="12"/>
      <c r="I10" s="12"/>
      <c r="J10" s="12"/>
      <c r="K10" s="12"/>
      <c r="L10" s="52" t="n">
        <f aca="false">SUMIFS(L8:L8,$C$8:$C$8,"H")</f>
        <v>0</v>
      </c>
    </row>
    <row r="11" customFormat="false" ht="15" hidden="false" customHeight="false" outlineLevel="0" collapsed="false">
      <c r="A11" s="11" t="s">
        <v>291</v>
      </c>
      <c r="B11" s="12"/>
      <c r="C11" s="12"/>
      <c r="D11" s="50" t="n">
        <f aca="false">SUMIFS(D8:D8,$C$8:$C$8,"E")</f>
        <v>0</v>
      </c>
      <c r="E11" s="12"/>
      <c r="F11" s="12"/>
      <c r="G11" s="50" t="n">
        <f aca="false">SUMIFS(G8:G8,$C$8:$C$8,"E")</f>
        <v>0</v>
      </c>
      <c r="H11" s="12"/>
      <c r="I11" s="12"/>
      <c r="J11" s="12"/>
      <c r="K11" s="12"/>
      <c r="L11" s="52" t="n">
        <f aca="false">SUMIFS(L8:L8,$C$8:$C$8,"E")</f>
        <v>0</v>
      </c>
    </row>
    <row r="13" customFormat="false" ht="15" hidden="false" customHeight="false" outlineLevel="0" collapsed="false">
      <c r="A13" s="9" t="s">
        <v>292</v>
      </c>
    </row>
    <row r="14" customFormat="false" ht="15" hidden="false" customHeight="false" outlineLevel="0" collapsed="false">
      <c r="A14" s="9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5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5" min="14" style="0" width="13"/>
    <col collapsed="false" customWidth="true" hidden="false" outlineLevel="0" max="16" min="16" style="0" width="11"/>
    <col collapsed="false" customWidth="true" hidden="false" outlineLevel="0" max="18" min="17" style="0" width="12"/>
    <col collapsed="false" customWidth="true" hidden="false" outlineLevel="0" max="19" min="19" style="0" width="14"/>
  </cols>
  <sheetData>
    <row r="1" customFormat="false" ht="16.15" hidden="false" customHeight="false" outlineLevel="0" collapsed="false">
      <c r="A1" s="1" t="s">
        <v>321</v>
      </c>
    </row>
    <row r="2" customFormat="false" ht="15" hidden="false" customHeight="false" outlineLevel="0" collapsed="false">
      <c r="A2" s="3" t="s">
        <v>241</v>
      </c>
      <c r="B2" s="27" t="s">
        <v>127</v>
      </c>
      <c r="C2" s="3" t="s">
        <v>242</v>
      </c>
      <c r="D2" s="27" t="s">
        <v>128</v>
      </c>
      <c r="F2" s="3" t="s">
        <v>243</v>
      </c>
      <c r="G2" s="27" t="s">
        <v>129</v>
      </c>
      <c r="I2" s="3" t="s">
        <v>244</v>
      </c>
      <c r="K2" s="59" t="s">
        <v>126</v>
      </c>
    </row>
    <row r="3" customFormat="false" ht="15" hidden="false" customHeight="false" outlineLevel="0" collapsed="false">
      <c r="A3" s="3" t="s">
        <v>245</v>
      </c>
      <c r="B3" s="27" t="s">
        <v>322</v>
      </c>
    </row>
    <row r="4" customFormat="false" ht="15" hidden="false" customHeight="false" outlineLevel="0" collapsed="false">
      <c r="A4" s="3" t="s">
        <v>247</v>
      </c>
      <c r="B4" s="45" t="n">
        <f aca="false">Premissas!$C$32</f>
        <v>0</v>
      </c>
      <c r="C4" s="3" t="s">
        <v>248</v>
      </c>
      <c r="D4" s="45" t="n">
        <f aca="false">Premissas!$D$32</f>
        <v>0</v>
      </c>
      <c r="F4" s="3" t="s">
        <v>249</v>
      </c>
      <c r="G4" s="46" t="n">
        <f aca="false">Premissas!$C$18</f>
        <v>44.3</v>
      </c>
    </row>
    <row r="5" customFormat="false" ht="15" hidden="false" customHeight="false" outlineLevel="0" collapsed="false">
      <c r="A5" s="3" t="s">
        <v>250</v>
      </c>
      <c r="B5" s="47" t="n">
        <f aca="false">G9</f>
        <v>0</v>
      </c>
      <c r="C5" s="3" t="s">
        <v>251</v>
      </c>
      <c r="D5" s="48" t="n">
        <f aca="false">I9</f>
        <v>0</v>
      </c>
      <c r="F5" s="3" t="s">
        <v>252</v>
      </c>
      <c r="G5" s="48" t="n">
        <f aca="false">L9</f>
        <v>0</v>
      </c>
      <c r="I5" s="3" t="s">
        <v>253</v>
      </c>
      <c r="K5" s="49" t="n">
        <f aca="false">P9</f>
        <v>0</v>
      </c>
    </row>
    <row r="7" customFormat="false" ht="30" hidden="false" customHeight="true" outlineLevel="0" collapsed="false">
      <c r="A7" s="10" t="s">
        <v>254</v>
      </c>
      <c r="B7" s="10" t="s">
        <v>255</v>
      </c>
      <c r="C7" s="10" t="s">
        <v>256</v>
      </c>
      <c r="D7" s="10" t="s">
        <v>101</v>
      </c>
      <c r="E7" s="10" t="s">
        <v>257</v>
      </c>
      <c r="F7" s="10" t="s">
        <v>258</v>
      </c>
      <c r="G7" s="10" t="s">
        <v>102</v>
      </c>
      <c r="H7" s="10" t="s">
        <v>39</v>
      </c>
      <c r="I7" s="10" t="s">
        <v>103</v>
      </c>
      <c r="J7" s="10" t="s">
        <v>42</v>
      </c>
      <c r="K7" s="10" t="s">
        <v>259</v>
      </c>
      <c r="L7" s="10" t="s">
        <v>104</v>
      </c>
      <c r="M7" s="10" t="s">
        <v>105</v>
      </c>
      <c r="N7" s="10" t="s">
        <v>56</v>
      </c>
      <c r="O7" s="10" t="s">
        <v>60</v>
      </c>
      <c r="P7" s="10" t="s">
        <v>106</v>
      </c>
      <c r="Q7" s="10" t="s">
        <v>64</v>
      </c>
      <c r="R7" s="10" t="s">
        <v>108</v>
      </c>
      <c r="S7" s="10" t="s">
        <v>260</v>
      </c>
    </row>
    <row r="8" customFormat="false" ht="15" hidden="false" customHeight="false" outlineLevel="0" collapsed="false">
      <c r="A8" s="11" t="s">
        <v>46</v>
      </c>
      <c r="B8" s="12" t="s">
        <v>304</v>
      </c>
      <c r="C8" s="12" t="s">
        <v>46</v>
      </c>
      <c r="D8" s="50" t="n">
        <v>0</v>
      </c>
      <c r="E8" s="51" t="n">
        <f aca="false">IFERROR(D8/$D$9,0)</f>
        <v>0</v>
      </c>
      <c r="F8" s="30" t="n">
        <v>0</v>
      </c>
      <c r="G8" s="50" t="n">
        <f aca="false">ROUND(D8*(1+$B$4),0)+F8</f>
        <v>0</v>
      </c>
      <c r="H8" s="35" t="n">
        <v>0</v>
      </c>
      <c r="I8" s="52" t="n">
        <f aca="false">G8*H8</f>
        <v>0</v>
      </c>
      <c r="J8" s="53" t="n">
        <f aca="false">Premissas!$C$18</f>
        <v>44.3</v>
      </c>
      <c r="K8" s="54" t="n">
        <f aca="false">H8*(1-Premissas!$C$19)*(1-$D$4)*(1-Premissas!$C$20)-J8</f>
        <v>-44.3</v>
      </c>
      <c r="L8" s="52" t="n">
        <f aca="false">G8*K8</f>
        <v>-0</v>
      </c>
      <c r="M8" s="50" t="n">
        <f aca="false">SUMIFS('Log diário'!$D:$D,'Log diário'!$B:$B,$B$2,'Log diário'!$C:$C,$A8)</f>
        <v>0</v>
      </c>
      <c r="N8" s="52" t="n">
        <f aca="false">SUMIFS('Log diário'!$E:$E,'Log diário'!$B:$B,$B$2,'Log diário'!$C:$C,$A8)</f>
        <v>0</v>
      </c>
      <c r="O8" s="50" t="n">
        <f aca="false">G8*Premissas!$C$10</f>
        <v>0</v>
      </c>
      <c r="P8" s="55" t="n">
        <f aca="false">IFERROR(M8/O8,0)</f>
        <v>0</v>
      </c>
      <c r="Q8" s="50" t="n">
        <f aca="false">IFERROR(M8/Premissas!$C$8*Premissas!$C$7,0)</f>
        <v>0</v>
      </c>
      <c r="R8" s="50" t="n">
        <f aca="false">Q8-G8</f>
        <v>0</v>
      </c>
      <c r="S8" s="56" t="n">
        <f aca="false">IFERROR(MAX(0,G8-M8)/Premissas!$C$9,0)</f>
        <v>0</v>
      </c>
    </row>
    <row r="9" customFormat="false" ht="15" hidden="false" customHeight="false" outlineLevel="0" collapsed="false">
      <c r="A9" s="19" t="s">
        <v>289</v>
      </c>
      <c r="B9" s="19"/>
      <c r="C9" s="19"/>
      <c r="D9" s="20" t="n">
        <f aca="false">SUM(D8:D8)</f>
        <v>0</v>
      </c>
      <c r="E9" s="23" t="n">
        <f aca="false">SUM(E8:E8)</f>
        <v>0</v>
      </c>
      <c r="F9" s="20" t="n">
        <f aca="false">SUM(F8:F8)</f>
        <v>0</v>
      </c>
      <c r="G9" s="20" t="n">
        <f aca="false">SUM(G8:G8)</f>
        <v>0</v>
      </c>
      <c r="H9" s="57"/>
      <c r="I9" s="21" t="n">
        <f aca="false">SUM(I8:I8)</f>
        <v>0</v>
      </c>
      <c r="J9" s="57"/>
      <c r="K9" s="57"/>
      <c r="L9" s="21" t="n">
        <f aca="false">SUM(L8:L8)</f>
        <v>0</v>
      </c>
      <c r="M9" s="20" t="n">
        <f aca="false">SUM(M8:M8)</f>
        <v>0</v>
      </c>
      <c r="N9" s="21" t="n">
        <f aca="false">SUM(N8:N8)</f>
        <v>0</v>
      </c>
      <c r="O9" s="20" t="n">
        <f aca="false">SUM(O8:O8)</f>
        <v>0</v>
      </c>
      <c r="P9" s="22" t="n">
        <f aca="false">IFERROR(M9/O9,0)</f>
        <v>0</v>
      </c>
      <c r="Q9" s="20" t="n">
        <f aca="false">SUM(Q8:Q8)</f>
        <v>0</v>
      </c>
      <c r="R9" s="20" t="n">
        <f aca="false">SUM(R8:R8)</f>
        <v>0</v>
      </c>
      <c r="S9" s="58" t="n">
        <f aca="false">SUM(S8:S8)</f>
        <v>0</v>
      </c>
    </row>
    <row r="10" customFormat="false" ht="15" hidden="false" customHeight="false" outlineLevel="0" collapsed="false">
      <c r="A10" s="11" t="s">
        <v>290</v>
      </c>
      <c r="B10" s="12"/>
      <c r="C10" s="12"/>
      <c r="D10" s="50" t="n">
        <f aca="false">SUMIFS(D8:D8,$C$8:$C$8,"H")</f>
        <v>0</v>
      </c>
      <c r="E10" s="12"/>
      <c r="F10" s="12"/>
      <c r="G10" s="50" t="n">
        <f aca="false">SUMIFS(G8:G8,$C$8:$C$8,"H")</f>
        <v>0</v>
      </c>
      <c r="H10" s="12"/>
      <c r="I10" s="12"/>
      <c r="J10" s="12"/>
      <c r="K10" s="12"/>
      <c r="L10" s="52" t="n">
        <f aca="false">SUMIFS(L8:L8,$C$8:$C$8,"H")</f>
        <v>0</v>
      </c>
    </row>
    <row r="11" customFormat="false" ht="15" hidden="false" customHeight="false" outlineLevel="0" collapsed="false">
      <c r="A11" s="11" t="s">
        <v>291</v>
      </c>
      <c r="B11" s="12"/>
      <c r="C11" s="12"/>
      <c r="D11" s="50" t="n">
        <f aca="false">SUMIFS(D8:D8,$C$8:$C$8,"E")</f>
        <v>0</v>
      </c>
      <c r="E11" s="12"/>
      <c r="F11" s="12"/>
      <c r="G11" s="50" t="n">
        <f aca="false">SUMIFS(G8:G8,$C$8:$C$8,"E")</f>
        <v>0</v>
      </c>
      <c r="H11" s="12"/>
      <c r="I11" s="12"/>
      <c r="J11" s="12"/>
      <c r="K11" s="12"/>
      <c r="L11" s="52" t="n">
        <f aca="false">SUMIFS(L8:L8,$C$8:$C$8,"E")</f>
        <v>0</v>
      </c>
    </row>
    <row r="13" customFormat="false" ht="15" hidden="false" customHeight="false" outlineLevel="0" collapsed="false">
      <c r="A13" s="9" t="s">
        <v>292</v>
      </c>
    </row>
    <row r="14" customFormat="false" ht="15" hidden="false" customHeight="false" outlineLevel="0" collapsed="false">
      <c r="A14" s="9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78"/>
  </cols>
  <sheetData>
    <row r="1" customFormat="false" ht="16.15" hidden="false" customHeight="false" outlineLevel="0" collapsed="false">
      <c r="A1" s="1" t="s">
        <v>323</v>
      </c>
    </row>
    <row r="2" customFormat="false" ht="15" hidden="false" customHeight="false" outlineLevel="0" collapsed="false">
      <c r="A2" s="9" t="s">
        <v>324</v>
      </c>
    </row>
    <row r="4" customFormat="false" ht="15" hidden="false" customHeight="false" outlineLevel="0" collapsed="false">
      <c r="A4" s="5" t="s">
        <v>325</v>
      </c>
      <c r="B4" s="5" t="s">
        <v>97</v>
      </c>
      <c r="C4" s="5" t="s">
        <v>254</v>
      </c>
      <c r="D4" s="5" t="s">
        <v>326</v>
      </c>
      <c r="E4" s="5" t="s">
        <v>327</v>
      </c>
      <c r="F4" s="5" t="s">
        <v>328</v>
      </c>
    </row>
    <row r="5" customFormat="false" ht="15" hidden="false" customHeight="false" outlineLevel="0" collapsed="false">
      <c r="A5" s="60" t="n">
        <v>46237</v>
      </c>
      <c r="B5" s="24" t="s">
        <v>110</v>
      </c>
      <c r="C5" s="24" t="s">
        <v>261</v>
      </c>
      <c r="D5" s="16" t="n">
        <v>83</v>
      </c>
      <c r="E5" s="61" t="n">
        <v>6015.01</v>
      </c>
      <c r="F5" s="24" t="s">
        <v>329</v>
      </c>
    </row>
    <row r="6" customFormat="false" ht="15" hidden="false" customHeight="false" outlineLevel="0" collapsed="false">
      <c r="A6" s="60" t="n">
        <v>46237</v>
      </c>
      <c r="B6" s="24" t="s">
        <v>110</v>
      </c>
      <c r="C6" s="24" t="s">
        <v>264</v>
      </c>
      <c r="D6" s="16" t="n">
        <v>80</v>
      </c>
      <c r="E6" s="61" t="n">
        <v>5928.8</v>
      </c>
      <c r="F6" s="24" t="s">
        <v>329</v>
      </c>
    </row>
    <row r="7" customFormat="false" ht="15" hidden="false" customHeight="false" outlineLevel="0" collapsed="false">
      <c r="A7" s="60" t="n">
        <v>46237</v>
      </c>
      <c r="B7" s="24" t="s">
        <v>110</v>
      </c>
      <c r="C7" s="24" t="s">
        <v>266</v>
      </c>
      <c r="D7" s="16" t="n">
        <v>25</v>
      </c>
      <c r="E7" s="61" t="n">
        <v>1811</v>
      </c>
      <c r="F7" s="24" t="s">
        <v>329</v>
      </c>
    </row>
    <row r="8" customFormat="false" ht="15" hidden="false" customHeight="false" outlineLevel="0" collapsed="false">
      <c r="A8" s="60" t="n">
        <v>46237</v>
      </c>
      <c r="B8" s="24" t="s">
        <v>110</v>
      </c>
      <c r="C8" s="24" t="s">
        <v>268</v>
      </c>
      <c r="D8" s="16" t="n">
        <v>13</v>
      </c>
      <c r="E8" s="61" t="n">
        <v>1116.44</v>
      </c>
      <c r="F8" s="24" t="s">
        <v>329</v>
      </c>
    </row>
    <row r="9" customFormat="false" ht="15" hidden="false" customHeight="false" outlineLevel="0" collapsed="false">
      <c r="A9" s="60" t="n">
        <v>46237</v>
      </c>
      <c r="B9" s="24" t="s">
        <v>110</v>
      </c>
      <c r="C9" s="24" t="s">
        <v>271</v>
      </c>
      <c r="D9" s="16" t="n">
        <v>2</v>
      </c>
      <c r="E9" s="61" t="n">
        <v>169.02</v>
      </c>
      <c r="F9" s="24" t="s">
        <v>329</v>
      </c>
    </row>
    <row r="10" customFormat="false" ht="15" hidden="false" customHeight="false" outlineLevel="0" collapsed="false">
      <c r="A10" s="60" t="n">
        <v>46237</v>
      </c>
      <c r="B10" s="24" t="s">
        <v>110</v>
      </c>
      <c r="C10" s="24" t="s">
        <v>275</v>
      </c>
      <c r="D10" s="16" t="n">
        <v>6</v>
      </c>
      <c r="E10" s="61" t="n">
        <v>477.66</v>
      </c>
      <c r="F10" s="24" t="s">
        <v>329</v>
      </c>
    </row>
    <row r="11" customFormat="false" ht="15" hidden="false" customHeight="false" outlineLevel="0" collapsed="false">
      <c r="A11" s="60" t="n">
        <v>46237</v>
      </c>
      <c r="B11" s="24" t="s">
        <v>110</v>
      </c>
      <c r="C11" s="24" t="s">
        <v>277</v>
      </c>
      <c r="D11" s="16" t="n">
        <v>1</v>
      </c>
      <c r="E11" s="61" t="n">
        <v>89.24</v>
      </c>
      <c r="F11" s="24" t="s">
        <v>329</v>
      </c>
    </row>
    <row r="12" customFormat="false" ht="15" hidden="false" customHeight="false" outlineLevel="0" collapsed="false">
      <c r="A12" s="60" t="n">
        <v>46237</v>
      </c>
      <c r="B12" s="24" t="s">
        <v>110</v>
      </c>
      <c r="C12" s="24" t="s">
        <v>281</v>
      </c>
      <c r="D12" s="16" t="n">
        <v>1</v>
      </c>
      <c r="E12" s="61" t="n">
        <v>99.68</v>
      </c>
      <c r="F12" s="24" t="s">
        <v>329</v>
      </c>
    </row>
    <row r="13" customFormat="false" ht="15" hidden="false" customHeight="false" outlineLevel="0" collapsed="false">
      <c r="A13" s="60" t="n">
        <v>46237</v>
      </c>
      <c r="B13" s="24" t="s">
        <v>110</v>
      </c>
      <c r="C13" s="24" t="s">
        <v>283</v>
      </c>
      <c r="D13" s="16" t="n">
        <v>2</v>
      </c>
      <c r="E13" s="61" t="n">
        <v>201.6</v>
      </c>
      <c r="F13" s="24" t="s">
        <v>329</v>
      </c>
    </row>
    <row r="14" customFormat="false" ht="15" hidden="false" customHeight="false" outlineLevel="0" collapsed="false">
      <c r="A14" s="60" t="n">
        <v>46237</v>
      </c>
      <c r="B14" s="24" t="s">
        <v>110</v>
      </c>
      <c r="C14" s="24" t="s">
        <v>285</v>
      </c>
      <c r="D14" s="16" t="n">
        <v>3</v>
      </c>
      <c r="E14" s="61" t="n">
        <v>267.15</v>
      </c>
      <c r="F14" s="24" t="s">
        <v>329</v>
      </c>
    </row>
    <row r="15" customFormat="false" ht="15" hidden="false" customHeight="false" outlineLevel="0" collapsed="false">
      <c r="A15" s="60" t="n">
        <v>46237</v>
      </c>
      <c r="B15" s="24" t="s">
        <v>114</v>
      </c>
      <c r="C15" s="24" t="s">
        <v>261</v>
      </c>
      <c r="D15" s="16" t="n">
        <v>5</v>
      </c>
      <c r="E15" s="61" t="n">
        <v>465</v>
      </c>
      <c r="F15" s="24" t="s">
        <v>329</v>
      </c>
    </row>
    <row r="16" customFormat="false" ht="15" hidden="false" customHeight="false" outlineLevel="0" collapsed="false">
      <c r="A16" s="60" t="n">
        <v>46237</v>
      </c>
      <c r="B16" s="24" t="s">
        <v>114</v>
      </c>
      <c r="C16" s="24" t="s">
        <v>266</v>
      </c>
      <c r="D16" s="16" t="n">
        <v>3</v>
      </c>
      <c r="E16" s="61" t="n">
        <v>281.22</v>
      </c>
      <c r="F16" s="24" t="s">
        <v>329</v>
      </c>
    </row>
    <row r="17" customFormat="false" ht="15" hidden="false" customHeight="false" outlineLevel="0" collapsed="false">
      <c r="A17" s="60" t="n">
        <v>46237</v>
      </c>
      <c r="B17" s="24" t="s">
        <v>114</v>
      </c>
      <c r="C17" s="24" t="s">
        <v>264</v>
      </c>
      <c r="D17" s="16" t="n">
        <v>1</v>
      </c>
      <c r="E17" s="61" t="n">
        <v>98.27</v>
      </c>
      <c r="F17" s="24" t="s">
        <v>329</v>
      </c>
    </row>
    <row r="18" customFormat="false" ht="15" hidden="false" customHeight="false" outlineLevel="0" collapsed="false">
      <c r="A18" s="60" t="n">
        <v>46237</v>
      </c>
      <c r="B18" s="24" t="s">
        <v>114</v>
      </c>
      <c r="C18" s="24" t="s">
        <v>277</v>
      </c>
      <c r="D18" s="16" t="n">
        <v>1</v>
      </c>
      <c r="E18" s="61" t="n">
        <v>95.76</v>
      </c>
      <c r="F18" s="24" t="s">
        <v>329</v>
      </c>
    </row>
    <row r="19" customFormat="false" ht="15" hidden="false" customHeight="false" outlineLevel="0" collapsed="false">
      <c r="A19" s="60" t="n">
        <v>46237</v>
      </c>
      <c r="B19" s="24" t="s">
        <v>114</v>
      </c>
      <c r="C19" s="24" t="s">
        <v>281</v>
      </c>
      <c r="D19" s="16" t="n">
        <v>1</v>
      </c>
      <c r="E19" s="61" t="n">
        <v>97.23</v>
      </c>
      <c r="F19" s="24" t="s">
        <v>329</v>
      </c>
    </row>
    <row r="20" customFormat="false" ht="15" hidden="false" customHeight="false" outlineLevel="0" collapsed="false">
      <c r="A20" s="60" t="n">
        <v>46237</v>
      </c>
      <c r="B20" s="24" t="s">
        <v>114</v>
      </c>
      <c r="C20" s="24" t="s">
        <v>296</v>
      </c>
      <c r="D20" s="16" t="n">
        <v>1</v>
      </c>
      <c r="E20" s="61" t="n">
        <v>76.3</v>
      </c>
      <c r="F20" s="24" t="s">
        <v>329</v>
      </c>
    </row>
    <row r="21" customFormat="false" ht="15" hidden="false" customHeight="false" outlineLevel="0" collapsed="false">
      <c r="A21" s="60" t="n">
        <v>46237</v>
      </c>
      <c r="B21" s="24" t="s">
        <v>114</v>
      </c>
      <c r="C21" s="24" t="s">
        <v>275</v>
      </c>
      <c r="D21" s="16" t="n">
        <v>1</v>
      </c>
      <c r="E21" s="61" t="n">
        <v>83.68</v>
      </c>
      <c r="F21" s="24" t="s">
        <v>329</v>
      </c>
    </row>
    <row r="22" customFormat="false" ht="15" hidden="false" customHeight="false" outlineLevel="0" collapsed="false">
      <c r="A22" s="60" t="n">
        <v>46237</v>
      </c>
      <c r="B22" s="24" t="s">
        <v>119</v>
      </c>
      <c r="C22" s="24" t="s">
        <v>261</v>
      </c>
      <c r="D22" s="16" t="n">
        <v>16</v>
      </c>
      <c r="E22" s="61" t="n">
        <v>1168.8</v>
      </c>
      <c r="F22" s="24" t="s">
        <v>329</v>
      </c>
    </row>
    <row r="23" customFormat="false" ht="15" hidden="false" customHeight="false" outlineLevel="0" collapsed="false">
      <c r="A23" s="60" t="n">
        <v>46237</v>
      </c>
      <c r="B23" s="24" t="s">
        <v>119</v>
      </c>
      <c r="C23" s="24" t="s">
        <v>264</v>
      </c>
      <c r="D23" s="16" t="n">
        <v>11</v>
      </c>
      <c r="E23" s="61" t="n">
        <v>807.95</v>
      </c>
      <c r="F23" s="24" t="s">
        <v>329</v>
      </c>
    </row>
    <row r="24" customFormat="false" ht="15" hidden="false" customHeight="false" outlineLevel="0" collapsed="false">
      <c r="A24" s="60" t="n">
        <v>46237</v>
      </c>
      <c r="B24" s="24" t="s">
        <v>119</v>
      </c>
      <c r="C24" s="24" t="s">
        <v>266</v>
      </c>
      <c r="D24" s="16" t="n">
        <v>6</v>
      </c>
      <c r="E24" s="61" t="n">
        <v>436.74</v>
      </c>
      <c r="F24" s="24" t="s">
        <v>329</v>
      </c>
    </row>
    <row r="25" customFormat="false" ht="15" hidden="false" customHeight="false" outlineLevel="0" collapsed="false">
      <c r="A25" s="60" t="n">
        <v>46237</v>
      </c>
      <c r="B25" s="24" t="s">
        <v>119</v>
      </c>
      <c r="C25" s="24" t="s">
        <v>271</v>
      </c>
      <c r="D25" s="16" t="n">
        <v>3</v>
      </c>
      <c r="E25" s="61" t="n">
        <v>255.33</v>
      </c>
      <c r="F25" s="24" t="s">
        <v>329</v>
      </c>
    </row>
    <row r="26" customFormat="false" ht="15" hidden="false" customHeight="false" outlineLevel="0" collapsed="false">
      <c r="A26" s="60" t="n">
        <v>46237</v>
      </c>
      <c r="B26" s="24" t="s">
        <v>119</v>
      </c>
      <c r="C26" s="24" t="s">
        <v>277</v>
      </c>
      <c r="D26" s="16" t="n">
        <v>1</v>
      </c>
      <c r="E26" s="61" t="n">
        <v>85.13</v>
      </c>
      <c r="F26" s="24" t="s">
        <v>329</v>
      </c>
    </row>
    <row r="27" customFormat="false" ht="15" hidden="false" customHeight="false" outlineLevel="0" collapsed="false">
      <c r="A27" s="60" t="n">
        <v>46237</v>
      </c>
      <c r="B27" s="24" t="s">
        <v>119</v>
      </c>
      <c r="C27" s="24" t="s">
        <v>275</v>
      </c>
      <c r="D27" s="16" t="n">
        <v>8</v>
      </c>
      <c r="E27" s="61" t="n">
        <v>643.84</v>
      </c>
      <c r="F27" s="24" t="s">
        <v>329</v>
      </c>
    </row>
    <row r="28" customFormat="false" ht="15" hidden="false" customHeight="false" outlineLevel="0" collapsed="false">
      <c r="A28" s="60" t="n">
        <v>46237</v>
      </c>
      <c r="B28" s="24" t="s">
        <v>119</v>
      </c>
      <c r="C28" s="24" t="s">
        <v>268</v>
      </c>
      <c r="D28" s="16" t="n">
        <v>6</v>
      </c>
      <c r="E28" s="61" t="n">
        <v>513.78</v>
      </c>
      <c r="F28" s="24" t="s">
        <v>329</v>
      </c>
    </row>
    <row r="29" customFormat="false" ht="15" hidden="false" customHeight="false" outlineLevel="0" collapsed="false">
      <c r="A29" s="60" t="n">
        <v>46237</v>
      </c>
      <c r="B29" s="24" t="s">
        <v>119</v>
      </c>
      <c r="C29" s="24" t="s">
        <v>273</v>
      </c>
      <c r="D29" s="16" t="n">
        <v>2</v>
      </c>
      <c r="E29" s="61" t="n">
        <v>151.46</v>
      </c>
      <c r="F29" s="24" t="s">
        <v>329</v>
      </c>
    </row>
    <row r="30" customFormat="false" ht="15" hidden="false" customHeight="false" outlineLevel="0" collapsed="false">
      <c r="A30" s="60" t="n">
        <v>46237</v>
      </c>
      <c r="B30" s="24" t="s">
        <v>119</v>
      </c>
      <c r="C30" s="24" t="s">
        <v>285</v>
      </c>
      <c r="D30" s="16" t="n">
        <v>3</v>
      </c>
      <c r="E30" s="61" t="n">
        <v>254.49</v>
      </c>
      <c r="F30" s="24" t="s">
        <v>329</v>
      </c>
    </row>
    <row r="31" customFormat="false" ht="15" hidden="false" customHeight="false" outlineLevel="0" collapsed="false">
      <c r="A31" s="60" t="n">
        <v>46237</v>
      </c>
      <c r="B31" s="24" t="s">
        <v>119</v>
      </c>
      <c r="C31" s="24" t="s">
        <v>281</v>
      </c>
      <c r="D31" s="16" t="n">
        <v>1</v>
      </c>
      <c r="E31" s="61" t="n">
        <v>87.72</v>
      </c>
      <c r="F31" s="24" t="s">
        <v>329</v>
      </c>
    </row>
    <row r="32" customFormat="false" ht="15" hidden="false" customHeight="false" outlineLevel="0" collapsed="false">
      <c r="A32" s="60" t="n">
        <v>46237</v>
      </c>
      <c r="B32" s="24" t="s">
        <v>119</v>
      </c>
      <c r="C32" s="24" t="s">
        <v>301</v>
      </c>
      <c r="D32" s="16" t="n">
        <v>2</v>
      </c>
      <c r="E32" s="61" t="n">
        <v>179.9</v>
      </c>
      <c r="F32" s="24" t="s">
        <v>329</v>
      </c>
    </row>
    <row r="33" customFormat="false" ht="15" hidden="false" customHeight="false" outlineLevel="0" collapsed="false">
      <c r="A33" s="60" t="n">
        <v>46237</v>
      </c>
      <c r="B33" s="24" t="s">
        <v>119</v>
      </c>
      <c r="C33" s="24" t="s">
        <v>283</v>
      </c>
      <c r="D33" s="16" t="n">
        <v>1</v>
      </c>
      <c r="E33" s="61" t="n">
        <v>86.74</v>
      </c>
      <c r="F33" s="24" t="s">
        <v>329</v>
      </c>
    </row>
    <row r="34" customFormat="false" ht="15" hidden="false" customHeight="false" outlineLevel="0" collapsed="false">
      <c r="A34" s="60" t="n">
        <v>46237</v>
      </c>
      <c r="B34" s="24" t="s">
        <v>119</v>
      </c>
      <c r="C34" s="24" t="s">
        <v>298</v>
      </c>
      <c r="D34" s="16" t="n">
        <v>1</v>
      </c>
      <c r="E34" s="61" t="n">
        <v>92.7</v>
      </c>
      <c r="F34" s="24" t="s">
        <v>329</v>
      </c>
    </row>
    <row r="35" customFormat="false" ht="15" hidden="false" customHeight="false" outlineLevel="0" collapsed="false">
      <c r="A35" s="60" t="n">
        <v>46237</v>
      </c>
      <c r="B35" s="24" t="s">
        <v>123</v>
      </c>
      <c r="C35" s="24" t="s">
        <v>261</v>
      </c>
      <c r="D35" s="16" t="n">
        <v>2</v>
      </c>
      <c r="E35" s="61" t="n">
        <v>146.1</v>
      </c>
      <c r="F35" s="24" t="s">
        <v>329</v>
      </c>
    </row>
    <row r="36" customFormat="false" ht="15" hidden="false" customHeight="false" outlineLevel="0" collapsed="false">
      <c r="A36" s="60" t="n">
        <v>46237</v>
      </c>
      <c r="B36" s="24" t="s">
        <v>123</v>
      </c>
      <c r="C36" s="24" t="s">
        <v>264</v>
      </c>
      <c r="D36" s="16" t="n">
        <v>1</v>
      </c>
      <c r="E36" s="61" t="n">
        <v>73.45</v>
      </c>
      <c r="F36" s="24" t="s">
        <v>329</v>
      </c>
    </row>
    <row r="37" customFormat="false" ht="15" hidden="false" customHeight="false" outlineLevel="0" collapsed="false">
      <c r="A37" s="60" t="n">
        <v>46237</v>
      </c>
      <c r="B37" s="24" t="s">
        <v>123</v>
      </c>
      <c r="C37" s="24" t="s">
        <v>266</v>
      </c>
      <c r="D37" s="16" t="n">
        <v>1</v>
      </c>
      <c r="E37" s="61" t="n">
        <v>72.79</v>
      </c>
      <c r="F37" s="24" t="s">
        <v>329</v>
      </c>
    </row>
    <row r="38" customFormat="false" ht="15" hidden="false" customHeight="false" outlineLevel="0" collapsed="false">
      <c r="A38" s="60" t="n">
        <v>46237</v>
      </c>
      <c r="B38" s="24" t="s">
        <v>123</v>
      </c>
      <c r="C38" s="24" t="s">
        <v>275</v>
      </c>
      <c r="D38" s="16" t="n">
        <v>1</v>
      </c>
      <c r="E38" s="61" t="n">
        <v>80.48</v>
      </c>
      <c r="F38" s="24" t="s">
        <v>329</v>
      </c>
    </row>
    <row r="39" customFormat="false" ht="15" hidden="false" customHeight="false" outlineLevel="0" collapsed="false">
      <c r="A39" s="60" t="n">
        <v>46237</v>
      </c>
      <c r="B39" s="24" t="s">
        <v>123</v>
      </c>
      <c r="C39" s="24" t="s">
        <v>268</v>
      </c>
      <c r="D39" s="16" t="n">
        <v>1</v>
      </c>
      <c r="E39" s="61" t="n">
        <v>85.63</v>
      </c>
      <c r="F39" s="24" t="s">
        <v>329</v>
      </c>
    </row>
    <row r="40" customFormat="false" ht="15" hidden="false" customHeight="false" outlineLevel="0" collapsed="false">
      <c r="A40" s="60" t="n">
        <v>46237</v>
      </c>
      <c r="B40" s="24" t="s">
        <v>110</v>
      </c>
      <c r="C40" s="24" t="s">
        <v>287</v>
      </c>
      <c r="D40" s="16" t="n">
        <v>3</v>
      </c>
      <c r="E40" s="61" t="n">
        <v>223.8</v>
      </c>
      <c r="F40" s="24" t="s">
        <v>330</v>
      </c>
    </row>
    <row r="41" customFormat="false" ht="15" hidden="false" customHeight="false" outlineLevel="0" collapsed="false">
      <c r="A41" s="60" t="n">
        <v>46237</v>
      </c>
      <c r="B41" s="24" t="s">
        <v>114</v>
      </c>
      <c r="C41" s="24" t="s">
        <v>287</v>
      </c>
      <c r="D41" s="16" t="n">
        <v>1</v>
      </c>
      <c r="E41" s="61" t="n">
        <v>94.16</v>
      </c>
      <c r="F41" s="24" t="s">
        <v>330</v>
      </c>
    </row>
    <row r="42" customFormat="false" ht="15" hidden="false" customHeight="false" outlineLevel="0" collapsed="false">
      <c r="A42" s="60" t="n">
        <v>46237</v>
      </c>
      <c r="B42" s="24" t="s">
        <v>122</v>
      </c>
      <c r="C42" s="24" t="s">
        <v>287</v>
      </c>
      <c r="D42" s="16" t="n">
        <v>2</v>
      </c>
      <c r="E42" s="61" t="n">
        <v>146.32</v>
      </c>
      <c r="F42" s="24" t="s">
        <v>330</v>
      </c>
    </row>
    <row r="43" customFormat="false" ht="15" hidden="false" customHeight="false" outlineLevel="0" collapsed="false">
      <c r="A43" s="60" t="n">
        <v>46237</v>
      </c>
      <c r="B43" s="24" t="s">
        <v>123</v>
      </c>
      <c r="C43" s="24" t="s">
        <v>287</v>
      </c>
      <c r="D43" s="16" t="n">
        <v>1</v>
      </c>
      <c r="E43" s="61" t="n">
        <v>76.05</v>
      </c>
      <c r="F43" s="24" t="s">
        <v>330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2026-08-03T11:46:11Z</dcterms:created>
  <dc:creator>openpyxl</dc:creator>
  <dc:description/>
  <dc:language>en-US</dc:language>
  <cp:lastModifiedBy/>
  <dcterms:modified xsi:type="dcterms:W3CDTF">2026-08-03T11:46:11Z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