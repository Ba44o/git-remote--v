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OI por creator" sheetId="2" state="visible" r:id="rId2"/>
    <sheet xmlns:r="http://schemas.openxmlformats.org/officeDocument/2006/relationships" name="Resumo por mês" sheetId="3" state="visible" r:id="rId3"/>
    <sheet xmlns:r="http://schemas.openxmlformats.org/officeDocument/2006/relationships" name="Metodologia" sheetId="4" state="visible" r:id="rId4"/>
  </sheets>
  <definedNames>
    <definedName name="_xlnm._FilterDatabase" localSheetId="1" hidden="1">'ROI por creator'!$A$1:$V$273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#,##0.0&quot;x&quot;"/>
  </numFmts>
  <fonts count="18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  <sz val="10"/>
    </font>
    <font>
      <b val="1"/>
      <color rgb="004F46E5"/>
      <sz val="11"/>
    </font>
    <font>
      <sz val="10"/>
    </font>
    <font>
      <b val="1"/>
    </font>
    <font>
      <i val="1"/>
      <color rgb="009CA3AF"/>
      <sz val="9"/>
    </font>
    <font>
      <b val="1"/>
      <sz val="10"/>
    </font>
    <font>
      <b val="1"/>
      <color rgb="00FFFFFF"/>
      <sz val="10"/>
    </font>
    <font>
      <sz val="9"/>
    </font>
    <font>
      <b val="1"/>
      <color rgb="00047857"/>
      <sz val="9"/>
    </font>
    <font>
      <b val="1"/>
      <color rgb="00B45309"/>
      <sz val="9"/>
    </font>
    <font>
      <b val="1"/>
      <color rgb="00047857"/>
      <sz val="11"/>
    </font>
    <font>
      <b val="1"/>
      <color rgb="001F2937"/>
      <sz val="14"/>
    </font>
    <font>
      <color rgb="00000000"/>
      <sz val="10"/>
    </font>
    <font>
      <color rgb="00374151"/>
      <sz val="10"/>
    </font>
    <font>
      <color rgb="00B45309"/>
      <sz val="10"/>
    </font>
    <font>
      <b val="1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AFAFA"/>
      </patternFill>
    </fill>
    <fill>
      <patternFill patternType="solid">
        <fgColor rgb="00FEF2F2"/>
      </patternFill>
    </fill>
    <fill>
      <patternFill patternType="solid">
        <fgColor rgb="00EEF2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/>
    </xf>
    <xf numFmtId="0" fontId="6" fillId="0" borderId="0" pivotButton="0" quotePrefix="0" xfId="0"/>
    <xf numFmtId="165" fontId="5" fillId="2" borderId="1" applyAlignment="1" pivotButton="0" quotePrefix="0" xfId="0">
      <alignment horizontal="center"/>
    </xf>
    <xf numFmtId="0" fontId="4" fillId="3" borderId="1" pivotButton="0" quotePrefix="0" xfId="0"/>
    <xf numFmtId="0" fontId="7" fillId="0" borderId="1" applyAlignment="1" pivotButton="0" quotePrefix="0" xfId="0">
      <alignment horizontal="right"/>
    </xf>
    <xf numFmtId="1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6" fontId="12" fillId="8" borderId="1" applyAlignment="1" pivotButton="0" quotePrefix="0" xfId="0">
      <alignment horizontal="right"/>
    </xf>
    <xf numFmtId="165" fontId="12" fillId="8" borderId="1" applyAlignment="1" pivotButton="0" quotePrefix="0" xfId="0">
      <alignment horizontal="right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165" fontId="9" fillId="0" borderId="1" pivotButton="0" quotePrefix="0" xfId="0"/>
    <xf numFmtId="164" fontId="9" fillId="0" borderId="1" pivotButton="0" quotePrefix="0" xfId="0"/>
    <xf numFmtId="166" fontId="9" fillId="0" borderId="1" pivotButton="0" quotePrefix="0" xfId="0"/>
    <xf numFmtId="0" fontId="9" fillId="5" borderId="1" applyAlignment="1" pivotButton="0" quotePrefix="0" xfId="0">
      <alignment horizontal="center"/>
    </xf>
    <xf numFmtId="0" fontId="9" fillId="5" borderId="1" pivotButton="0" quotePrefix="0" xfId="0"/>
    <xf numFmtId="0" fontId="10" fillId="5" borderId="1" applyAlignment="1" pivotButton="0" quotePrefix="0" xfId="0">
      <alignment horizontal="center"/>
    </xf>
    <xf numFmtId="165" fontId="9" fillId="5" borderId="1" pivotButton="0" quotePrefix="0" xfId="0"/>
    <xf numFmtId="164" fontId="9" fillId="5" borderId="1" pivotButton="0" quotePrefix="0" xfId="0"/>
    <xf numFmtId="166" fontId="9" fillId="5" borderId="1" pivotButton="0" quotePrefix="0" xfId="0"/>
    <xf numFmtId="0" fontId="9" fillId="6" borderId="1" applyAlignment="1" pivotButton="0" quotePrefix="0" xfId="0">
      <alignment horizontal="center"/>
    </xf>
    <xf numFmtId="0" fontId="9" fillId="6" borderId="1" pivotButton="0" quotePrefix="0" xfId="0"/>
    <xf numFmtId="0" fontId="11" fillId="6" borderId="1" applyAlignment="1" pivotButton="0" quotePrefix="0" xfId="0">
      <alignment horizontal="center"/>
    </xf>
    <xf numFmtId="165" fontId="9" fillId="6" borderId="1" pivotButton="0" quotePrefix="0" xfId="0"/>
    <xf numFmtId="164" fontId="9" fillId="6" borderId="1" pivotButton="0" quotePrefix="0" xfId="0"/>
    <xf numFmtId="166" fontId="9" fillId="6" borderId="1" pivotButton="0" quotePrefix="0" xfId="0"/>
    <xf numFmtId="0" fontId="5" fillId="0" borderId="0" pivotButton="0" quotePrefix="0" xfId="0"/>
    <xf numFmtId="1" fontId="5" fillId="7" borderId="0" pivotButton="0" quotePrefix="0" xfId="0"/>
    <xf numFmtId="164" fontId="5" fillId="7" borderId="0" pivotButton="0" quotePrefix="0" xfId="0"/>
    <xf numFmtId="166" fontId="5" fillId="7" borderId="0" pivotButton="0" quotePrefix="0" xfId="0"/>
    <xf numFmtId="165" fontId="5" fillId="7" borderId="0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pivotButton="0" quotePrefix="0" xfId="0"/>
    <xf numFmtId="166" fontId="4" fillId="5" borderId="1" pivotButton="0" quotePrefix="0" xfId="0"/>
    <xf numFmtId="165" fontId="4" fillId="5" borderId="1" pivotButton="0" quotePrefix="0" xfId="0"/>
    <xf numFmtId="0" fontId="5" fillId="7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40" customWidth="1" min="4" max="4"/>
  </cols>
  <sheetData>
    <row r="2">
      <c r="B2" s="1" t="inlineStr">
        <is>
          <t>ROI Seeding 2025/2026</t>
        </is>
      </c>
    </row>
    <row r="3">
      <c r="B3" s="2" t="inlineStr">
        <is>
          <t>Free sample REAL da API (sample_applications) · peça enviada = COMPLETED/SHIPPED/CONTENT_PENDING · GMV = afiliação da creator (Affiliate Orders) na janela do convite · coorte por MÊS do convite</t>
        </is>
      </c>
    </row>
    <row r="5">
      <c r="B5" s="3" t="inlineStr">
        <is>
          <t>Premissas (edite os valores em amarelo — tudo recalcula)</t>
        </is>
      </c>
    </row>
    <row r="6">
      <c r="B6" s="4" t="inlineStr">
        <is>
          <t>Custo unitário da peça-amostra (COGS)</t>
        </is>
      </c>
      <c r="C6" s="5" t="n">
        <v>40</v>
      </c>
      <c r="D6" s="6" t="inlineStr">
        <is>
          <t>← custo de produção de 1 peça</t>
        </is>
      </c>
    </row>
    <row r="7">
      <c r="B7" s="4" t="inlineStr">
        <is>
          <t>Frete por envio (por creator)</t>
        </is>
      </c>
      <c r="C7" s="5" t="n">
        <v>25</v>
      </c>
      <c r="D7" s="6" t="inlineStr">
        <is>
          <t>← logística de 1 remessa</t>
        </is>
      </c>
    </row>
    <row r="8">
      <c r="B8" s="4" t="inlineStr">
        <is>
          <t>Margem de contribuição sobre GMV</t>
        </is>
      </c>
      <c r="C8" s="7" t="n">
        <v>0.55</v>
      </c>
      <c r="D8" s="6" t="inlineStr">
        <is>
          <t>← quanto do GMV vira lucro antes de comissão/seeding</t>
        </is>
      </c>
    </row>
    <row r="10">
      <c r="B10" s="3" t="inlineStr">
        <is>
          <t>Resultado consolidado</t>
        </is>
      </c>
    </row>
    <row r="11">
      <c r="B11" s="8" t="inlineStr">
        <is>
          <t>Creators que receberam amostra</t>
        </is>
      </c>
      <c r="C11" s="9" t="n">
        <v>113</v>
      </c>
    </row>
    <row r="12">
      <c r="B12" s="8" t="inlineStr">
        <is>
          <t>Peças enviadas (total)</t>
        </is>
      </c>
      <c r="C12" s="10">
        <f>SUM('ROI por creator'!I2:I273)</f>
        <v/>
      </c>
    </row>
    <row r="13">
      <c r="B13" s="8" t="inlineStr">
        <is>
          <t>Peças pedidas (inclui canceladas)</t>
        </is>
      </c>
      <c r="C13" s="10">
        <f>SUM('ROI por creator'!H2:H273)</f>
        <v/>
      </c>
    </row>
    <row r="14">
      <c r="B14" s="8" t="inlineStr">
        <is>
          <t>Peças canceladas (não enviadas)</t>
        </is>
      </c>
      <c r="C14" s="10">
        <f>SUM('ROI por creator'!J2:J273)</f>
        <v/>
      </c>
    </row>
    <row r="15">
      <c r="B15" s="8" t="inlineStr">
        <is>
          <t>GMV atribuído (afiliação pós-convite)</t>
        </is>
      </c>
      <c r="C15" s="11">
        <f>SUM('ROI por creator'!Q2:Q273)</f>
        <v/>
      </c>
    </row>
    <row r="16">
      <c r="B16" s="8" t="inlineStr">
        <is>
          <t>Comissão paga sobre seeding</t>
        </is>
      </c>
      <c r="C16" s="11">
        <f>SUM('ROI por creator'!R2:R273)</f>
        <v/>
      </c>
    </row>
    <row r="17">
      <c r="B17" s="8" t="inlineStr">
        <is>
          <t>Custo total de seeding (peças+frete)</t>
        </is>
      </c>
      <c r="C17" s="11">
        <f>SUM('ROI por creator'!O2:O273)</f>
        <v/>
      </c>
    </row>
    <row r="18">
      <c r="B18" s="8" t="inlineStr">
        <is>
          <t>Margem de contribuição gerada</t>
        </is>
      </c>
      <c r="C18" s="11">
        <f>SUM('ROI por creator'!S2:S273)</f>
        <v/>
      </c>
    </row>
    <row r="19">
      <c r="B19" s="8" t="inlineStr">
        <is>
          <t>Lucro líquido do seeding</t>
        </is>
      </c>
      <c r="C19" s="11">
        <f>SUM('ROI por creator'!T2:T273)</f>
        <v/>
      </c>
    </row>
    <row r="20">
      <c r="B20" s="8" t="inlineStr">
        <is>
          <t>ROAS (GMV ÷ custo seeding)</t>
        </is>
      </c>
      <c r="C20" s="12">
        <f>IF(SUM('ROI por creator'!O2:O273)&gt;0,SUM('ROI por creator'!Q2:Q273)/SUM('ROI por creator'!O2:O273),0)</f>
        <v/>
      </c>
    </row>
    <row r="21">
      <c r="B21" s="8" t="inlineStr">
        <is>
          <t>ROI (lucro ÷ custo seeding)</t>
        </is>
      </c>
      <c r="C21" s="13">
        <f>IF(SUM('ROI por creator'!O2:O273)&gt;0,SUM('ROI por creator'!T2:T273)/SUM('ROI por creator'!O2:O273),0)</f>
        <v/>
      </c>
    </row>
    <row r="22">
      <c r="B22" s="8" t="inlineStr">
        <is>
          <t>Custo por peça enviada</t>
        </is>
      </c>
      <c r="C22" s="11">
        <f>IF(SUM('ROI por creator'!I2:I273)&gt;0,SUM('ROI por creator'!O2:O273)/SUM('ROI por creator'!I2:I273),0)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3" customWidth="1" min="4" max="4"/>
    <col width="11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11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6" customWidth="1" min="17" max="17"/>
    <col width="14" customWidth="1" min="18" max="18"/>
    <col width="15" customWidth="1" min="19" max="19"/>
    <col width="14" customWidth="1" min="20" max="20"/>
    <col width="9" customWidth="1" min="21" max="21"/>
    <col width="9" customWidth="1" min="22" max="22"/>
  </cols>
  <sheetData>
    <row r="1" ht="30" customHeight="1">
      <c r="A1" s="14" t="inlineStr">
        <is>
          <t>#</t>
        </is>
      </c>
      <c r="B1" s="14" t="inlineStr">
        <is>
          <t>Creator</t>
        </is>
      </c>
      <c r="C1" s="14" t="inlineStr">
        <is>
          <t>@ TikTok</t>
        </is>
      </c>
      <c r="D1" s="14" t="inlineStr">
        <is>
          <t>Status envio</t>
        </is>
      </c>
      <c r="E1" s="14" t="inlineStr">
        <is>
          <t>Mês convite</t>
        </is>
      </c>
      <c r="F1" s="14" t="inlineStr">
        <is>
          <t>1º convite</t>
        </is>
      </c>
      <c r="G1" s="14" t="inlineStr">
        <is>
          <t>Último convite</t>
        </is>
      </c>
      <c r="H1" s="14" t="inlineStr">
        <is>
          <t>Peças pedidas</t>
        </is>
      </c>
      <c r="I1" s="14" t="inlineStr">
        <is>
          <t>Peças enviadas</t>
        </is>
      </c>
      <c r="J1" s="14" t="inlineStr">
        <is>
          <t>Peças canceladas</t>
        </is>
      </c>
      <c r="K1" s="14" t="inlineStr">
        <is>
          <t>SKUs amostrados</t>
        </is>
      </c>
      <c r="L1" s="14" t="inlineStr">
        <is>
          <t>Comissão %</t>
        </is>
      </c>
      <c r="M1" s="14" t="inlineStr">
        <is>
          <t>Custo amostra (R$)</t>
        </is>
      </c>
      <c r="N1" s="14" t="inlineStr">
        <is>
          <t>Frete (R$)</t>
        </is>
      </c>
      <c r="O1" s="14" t="inlineStr">
        <is>
          <t>Custo seeding (R$)</t>
        </is>
      </c>
      <c r="P1" s="14" t="inlineStr">
        <is>
          <t>Pedidos atrib.</t>
        </is>
      </c>
      <c r="Q1" s="14" t="inlineStr">
        <is>
          <t>GMV atribuído (R$)</t>
        </is>
      </c>
      <c r="R1" s="14" t="inlineStr">
        <is>
          <t>Comissão paga (R$)</t>
        </is>
      </c>
      <c r="S1" s="14" t="inlineStr">
        <is>
          <t>Margem contrib. (R$)</t>
        </is>
      </c>
      <c r="T1" s="14" t="inlineStr">
        <is>
          <t>Lucro líquido (R$)</t>
        </is>
      </c>
      <c r="U1" s="14" t="inlineStr">
        <is>
          <t>ROAS</t>
        </is>
      </c>
      <c r="V1" s="14" t="inlineStr">
        <is>
          <t>ROI</t>
        </is>
      </c>
    </row>
    <row r="2">
      <c r="A2" s="15" t="n">
        <v>1</v>
      </c>
      <c r="B2" s="16" t="inlineStr">
        <is>
          <t>Flávia Cunha</t>
        </is>
      </c>
      <c r="C2" s="16" t="inlineStr">
        <is>
          <t>@flavia.cunha__</t>
        </is>
      </c>
      <c r="D2" s="17" t="inlineStr">
        <is>
          <t>Enviado</t>
        </is>
      </c>
      <c r="E2" s="15" t="inlineStr">
        <is>
          <t>2025-06</t>
        </is>
      </c>
      <c r="F2" s="15" t="inlineStr">
        <is>
          <t>2025-06-27</t>
        </is>
      </c>
      <c r="G2" s="15" t="inlineStr">
        <is>
          <t>2025-06-27</t>
        </is>
      </c>
      <c r="H2" s="15" t="n">
        <v>2</v>
      </c>
      <c r="I2" s="15" t="n">
        <v>2</v>
      </c>
      <c r="J2" s="15" t="n">
        <v>0</v>
      </c>
      <c r="K2" s="15" t="n">
        <v>2</v>
      </c>
      <c r="L2" s="18" t="n">
        <v>0.08</v>
      </c>
      <c r="M2" s="19">
        <f>I2*Resumo!$C$6</f>
        <v/>
      </c>
      <c r="N2" s="19">
        <f>IF(I2&gt;0,Resumo!$C$7,0)</f>
        <v/>
      </c>
      <c r="O2" s="19">
        <f>M2+N2</f>
        <v/>
      </c>
      <c r="P2" s="15" t="n">
        <v>1</v>
      </c>
      <c r="Q2" s="19" t="n">
        <v>79.90000000000001</v>
      </c>
      <c r="R2" s="19" t="n">
        <v>7.99</v>
      </c>
      <c r="S2" s="19">
        <f>Q2*Resumo!$C$8</f>
        <v/>
      </c>
      <c r="T2" s="19">
        <f>S2-R2-O2</f>
        <v/>
      </c>
      <c r="U2" s="20">
        <f>IF(O2&gt;0,Q2/O2,0)</f>
        <v/>
      </c>
      <c r="V2" s="18">
        <f>IF(O2&gt;0,T2/O2,0)</f>
        <v/>
      </c>
    </row>
    <row r="3">
      <c r="A3" s="21" t="n">
        <v>2</v>
      </c>
      <c r="B3" s="22" t="inlineStr">
        <is>
          <t>TATÁ 🎀</t>
        </is>
      </c>
      <c r="C3" s="22" t="inlineStr">
        <is>
          <t>@luccianagomees</t>
        </is>
      </c>
      <c r="D3" s="23" t="inlineStr">
        <is>
          <t>Enviado</t>
        </is>
      </c>
      <c r="E3" s="21" t="inlineStr">
        <is>
          <t>2025-06</t>
        </is>
      </c>
      <c r="F3" s="21" t="inlineStr">
        <is>
          <t>2025-06-27</t>
        </is>
      </c>
      <c r="G3" s="21" t="inlineStr">
        <is>
          <t>2025-06-27</t>
        </is>
      </c>
      <c r="H3" s="21" t="n">
        <v>1</v>
      </c>
      <c r="I3" s="21" t="n">
        <v>1</v>
      </c>
      <c r="J3" s="21" t="n">
        <v>0</v>
      </c>
      <c r="K3" s="21" t="n">
        <v>1</v>
      </c>
      <c r="L3" s="24" t="n">
        <v>0.08</v>
      </c>
      <c r="M3" s="25">
        <f>I3*Resumo!$C$6</f>
        <v/>
      </c>
      <c r="N3" s="25">
        <f>IF(I3&gt;0,Resumo!$C$7,0)</f>
        <v/>
      </c>
      <c r="O3" s="25">
        <f>M3+N3</f>
        <v/>
      </c>
      <c r="P3" s="21" t="n">
        <v>0</v>
      </c>
      <c r="Q3" s="25" t="n">
        <v>0</v>
      </c>
      <c r="R3" s="25" t="n">
        <v>0</v>
      </c>
      <c r="S3" s="25">
        <f>Q3*Resumo!$C$8</f>
        <v/>
      </c>
      <c r="T3" s="25">
        <f>S3-R3-O3</f>
        <v/>
      </c>
      <c r="U3" s="26">
        <f>IF(O3&gt;0,Q3/O3,0)</f>
        <v/>
      </c>
      <c r="V3" s="24">
        <f>IF(O3&gt;0,T3/O3,0)</f>
        <v/>
      </c>
    </row>
    <row r="4">
      <c r="A4" s="15" t="n">
        <v>3</v>
      </c>
      <c r="B4" s="16" t="inlineStr">
        <is>
          <t>Yasmin Oliveira</t>
        </is>
      </c>
      <c r="C4" s="16" t="inlineStr">
        <is>
          <t>@yasmin.aoliveira</t>
        </is>
      </c>
      <c r="D4" s="17" t="inlineStr">
        <is>
          <t>Enviado</t>
        </is>
      </c>
      <c r="E4" s="15" t="inlineStr">
        <is>
          <t>2025-06</t>
        </is>
      </c>
      <c r="F4" s="15" t="inlineStr">
        <is>
          <t>2025-06-27</t>
        </is>
      </c>
      <c r="G4" s="15" t="inlineStr">
        <is>
          <t>2025-06-27</t>
        </is>
      </c>
      <c r="H4" s="15" t="n">
        <v>1</v>
      </c>
      <c r="I4" s="15" t="n">
        <v>1</v>
      </c>
      <c r="J4" s="15" t="n">
        <v>0</v>
      </c>
      <c r="K4" s="15" t="n">
        <v>1</v>
      </c>
      <c r="L4" s="18" t="n">
        <v>0.08</v>
      </c>
      <c r="M4" s="19">
        <f>I4*Resumo!$C$6</f>
        <v/>
      </c>
      <c r="N4" s="19">
        <f>IF(I4&gt;0,Resumo!$C$7,0)</f>
        <v/>
      </c>
      <c r="O4" s="19">
        <f>M4+N4</f>
        <v/>
      </c>
      <c r="P4" s="15" t="n">
        <v>0</v>
      </c>
      <c r="Q4" s="19" t="n">
        <v>0</v>
      </c>
      <c r="R4" s="19" t="n">
        <v>0</v>
      </c>
      <c r="S4" s="19">
        <f>Q4*Resumo!$C$8</f>
        <v/>
      </c>
      <c r="T4" s="19">
        <f>S4-R4-O4</f>
        <v/>
      </c>
      <c r="U4" s="20">
        <f>IF(O4&gt;0,Q4/O4,0)</f>
        <v/>
      </c>
      <c r="V4" s="18">
        <f>IF(O4&gt;0,T4/O4,0)</f>
        <v/>
      </c>
    </row>
    <row r="5">
      <c r="A5" s="21" t="n">
        <v>4</v>
      </c>
      <c r="B5" s="22" t="inlineStr">
        <is>
          <t>numarchi</t>
        </is>
      </c>
      <c r="C5" s="22" t="inlineStr">
        <is>
          <t>@numarchi</t>
        </is>
      </c>
      <c r="D5" s="23" t="inlineStr">
        <is>
          <t>Enviado</t>
        </is>
      </c>
      <c r="E5" s="21" t="inlineStr">
        <is>
          <t>2025-06</t>
        </is>
      </c>
      <c r="F5" s="21" t="inlineStr">
        <is>
          <t>2025-06-28</t>
        </is>
      </c>
      <c r="G5" s="21" t="inlineStr">
        <is>
          <t>2025-06-28</t>
        </is>
      </c>
      <c r="H5" s="21" t="n">
        <v>1</v>
      </c>
      <c r="I5" s="21" t="n">
        <v>1</v>
      </c>
      <c r="J5" s="21" t="n">
        <v>0</v>
      </c>
      <c r="K5" s="21" t="n">
        <v>1</v>
      </c>
      <c r="L5" s="24" t="n">
        <v>0.12</v>
      </c>
      <c r="M5" s="25">
        <f>I5*Resumo!$C$6</f>
        <v/>
      </c>
      <c r="N5" s="25">
        <f>IF(I5&gt;0,Resumo!$C$7,0)</f>
        <v/>
      </c>
      <c r="O5" s="25">
        <f>M5+N5</f>
        <v/>
      </c>
      <c r="P5" s="21" t="n">
        <v>0</v>
      </c>
      <c r="Q5" s="25" t="n">
        <v>0</v>
      </c>
      <c r="R5" s="25" t="n">
        <v>0</v>
      </c>
      <c r="S5" s="25">
        <f>Q5*Resumo!$C$8</f>
        <v/>
      </c>
      <c r="T5" s="25">
        <f>S5-R5-O5</f>
        <v/>
      </c>
      <c r="U5" s="26">
        <f>IF(O5&gt;0,Q5/O5,0)</f>
        <v/>
      </c>
      <c r="V5" s="24">
        <f>IF(O5&gt;0,T5/O5,0)</f>
        <v/>
      </c>
    </row>
    <row r="6">
      <c r="A6" s="15" t="n">
        <v>5</v>
      </c>
      <c r="B6" s="16" t="inlineStr">
        <is>
          <t>Laiane Novais</t>
        </is>
      </c>
      <c r="C6" s="16" t="inlineStr">
        <is>
          <t>@laianenovaisss</t>
        </is>
      </c>
      <c r="D6" s="17" t="inlineStr">
        <is>
          <t>Enviado</t>
        </is>
      </c>
      <c r="E6" s="15" t="inlineStr">
        <is>
          <t>2025-06</t>
        </is>
      </c>
      <c r="F6" s="15" t="inlineStr">
        <is>
          <t>2025-06-30</t>
        </is>
      </c>
      <c r="G6" s="15" t="inlineStr">
        <is>
          <t>2025-06-30</t>
        </is>
      </c>
      <c r="H6" s="15" t="n">
        <v>2</v>
      </c>
      <c r="I6" s="15" t="n">
        <v>2</v>
      </c>
      <c r="J6" s="15" t="n">
        <v>0</v>
      </c>
      <c r="K6" s="15" t="n">
        <v>2</v>
      </c>
      <c r="L6" s="18" t="n">
        <v>0.12</v>
      </c>
      <c r="M6" s="19">
        <f>I6*Resumo!$C$6</f>
        <v/>
      </c>
      <c r="N6" s="19">
        <f>IF(I6&gt;0,Resumo!$C$7,0)</f>
        <v/>
      </c>
      <c r="O6" s="19">
        <f>M6+N6</f>
        <v/>
      </c>
      <c r="P6" s="15" t="n">
        <v>0</v>
      </c>
      <c r="Q6" s="19" t="n">
        <v>0</v>
      </c>
      <c r="R6" s="19" t="n">
        <v>0</v>
      </c>
      <c r="S6" s="19">
        <f>Q6*Resumo!$C$8</f>
        <v/>
      </c>
      <c r="T6" s="19">
        <f>S6-R6-O6</f>
        <v/>
      </c>
      <c r="U6" s="20">
        <f>IF(O6&gt;0,Q6/O6,0)</f>
        <v/>
      </c>
      <c r="V6" s="18">
        <f>IF(O6&gt;0,T6/O6,0)</f>
        <v/>
      </c>
    </row>
    <row r="7">
      <c r="A7" s="21" t="n">
        <v>6</v>
      </c>
      <c r="B7" s="22" t="inlineStr">
        <is>
          <t>Maria Augusta Reis</t>
        </is>
      </c>
      <c r="C7" s="22" t="inlineStr">
        <is>
          <t>@mariaaugustareiss</t>
        </is>
      </c>
      <c r="D7" s="23" t="inlineStr">
        <is>
          <t>Enviado</t>
        </is>
      </c>
      <c r="E7" s="21" t="inlineStr">
        <is>
          <t>2025-06</t>
        </is>
      </c>
      <c r="F7" s="21" t="inlineStr">
        <is>
          <t>2025-06-30</t>
        </is>
      </c>
      <c r="G7" s="21" t="inlineStr">
        <is>
          <t>2025-06-30</t>
        </is>
      </c>
      <c r="H7" s="21" t="n">
        <v>2</v>
      </c>
      <c r="I7" s="21" t="n">
        <v>2</v>
      </c>
      <c r="J7" s="21" t="n">
        <v>0</v>
      </c>
      <c r="K7" s="21" t="n">
        <v>2</v>
      </c>
      <c r="L7" s="24" t="n">
        <v>0.08</v>
      </c>
      <c r="M7" s="25">
        <f>I7*Resumo!$C$6</f>
        <v/>
      </c>
      <c r="N7" s="25">
        <f>IF(I7&gt;0,Resumo!$C$7,0)</f>
        <v/>
      </c>
      <c r="O7" s="25">
        <f>M7+N7</f>
        <v/>
      </c>
      <c r="P7" s="21" t="n">
        <v>0</v>
      </c>
      <c r="Q7" s="25" t="n">
        <v>0</v>
      </c>
      <c r="R7" s="25" t="n">
        <v>0</v>
      </c>
      <c r="S7" s="25">
        <f>Q7*Resumo!$C$8</f>
        <v/>
      </c>
      <c r="T7" s="25">
        <f>S7-R7-O7</f>
        <v/>
      </c>
      <c r="U7" s="26">
        <f>IF(O7&gt;0,Q7/O7,0)</f>
        <v/>
      </c>
      <c r="V7" s="24">
        <f>IF(O7&gt;0,T7/O7,0)</f>
        <v/>
      </c>
    </row>
    <row r="8">
      <c r="A8" s="15" t="n">
        <v>7</v>
      </c>
      <c r="B8" s="16" t="inlineStr">
        <is>
          <t>Laiane Novais</t>
        </is>
      </c>
      <c r="C8" s="16" t="inlineStr">
        <is>
          <t>@laianenovaisss</t>
        </is>
      </c>
      <c r="D8" s="17" t="inlineStr">
        <is>
          <t>Enviado</t>
        </is>
      </c>
      <c r="E8" s="15" t="inlineStr">
        <is>
          <t>2025-07</t>
        </is>
      </c>
      <c r="F8" s="15" t="inlineStr">
        <is>
          <t>2025-07-16</t>
        </is>
      </c>
      <c r="G8" s="15" t="inlineStr">
        <is>
          <t>2025-07-16</t>
        </is>
      </c>
      <c r="H8" s="15" t="n">
        <v>1</v>
      </c>
      <c r="I8" s="15" t="n">
        <v>1</v>
      </c>
      <c r="J8" s="15" t="n">
        <v>0</v>
      </c>
      <c r="K8" s="15" t="n">
        <v>1</v>
      </c>
      <c r="L8" s="18" t="n">
        <v>0.12</v>
      </c>
      <c r="M8" s="19">
        <f>I8*Resumo!$C$6</f>
        <v/>
      </c>
      <c r="N8" s="19">
        <f>IF(I8&gt;0,Resumo!$C$7,0)</f>
        <v/>
      </c>
      <c r="O8" s="19">
        <f>M8+N8</f>
        <v/>
      </c>
      <c r="P8" s="15" t="n">
        <v>0</v>
      </c>
      <c r="Q8" s="19" t="n">
        <v>0</v>
      </c>
      <c r="R8" s="19" t="n">
        <v>0</v>
      </c>
      <c r="S8" s="19">
        <f>Q8*Resumo!$C$8</f>
        <v/>
      </c>
      <c r="T8" s="19">
        <f>S8-R8-O8</f>
        <v/>
      </c>
      <c r="U8" s="20">
        <f>IF(O8&gt;0,Q8/O8,0)</f>
        <v/>
      </c>
      <c r="V8" s="18">
        <f>IF(O8&gt;0,T8/O8,0)</f>
        <v/>
      </c>
    </row>
    <row r="9">
      <c r="A9" s="21" t="n">
        <v>8</v>
      </c>
      <c r="B9" s="22" t="inlineStr">
        <is>
          <t>Maria Augusta Reis</t>
        </is>
      </c>
      <c r="C9" s="22" t="inlineStr">
        <is>
          <t>@mariaaugustareiss</t>
        </is>
      </c>
      <c r="D9" s="23" t="inlineStr">
        <is>
          <t>Enviado</t>
        </is>
      </c>
      <c r="E9" s="21" t="inlineStr">
        <is>
          <t>2025-07</t>
        </is>
      </c>
      <c r="F9" s="21" t="inlineStr">
        <is>
          <t>2025-07-18</t>
        </is>
      </c>
      <c r="G9" s="21" t="inlineStr">
        <is>
          <t>2025-07-18</t>
        </is>
      </c>
      <c r="H9" s="21" t="n">
        <v>1</v>
      </c>
      <c r="I9" s="21" t="n">
        <v>1</v>
      </c>
      <c r="J9" s="21" t="n">
        <v>0</v>
      </c>
      <c r="K9" s="21" t="n">
        <v>1</v>
      </c>
      <c r="L9" s="24" t="n">
        <v>0.08</v>
      </c>
      <c r="M9" s="25">
        <f>I9*Resumo!$C$6</f>
        <v/>
      </c>
      <c r="N9" s="25">
        <f>IF(I9&gt;0,Resumo!$C$7,0)</f>
        <v/>
      </c>
      <c r="O9" s="25">
        <f>M9+N9</f>
        <v/>
      </c>
      <c r="P9" s="21" t="n">
        <v>51</v>
      </c>
      <c r="Q9" s="25" t="n">
        <v>4318.54</v>
      </c>
      <c r="R9" s="25" t="n">
        <v>370.11</v>
      </c>
      <c r="S9" s="25">
        <f>Q9*Resumo!$C$8</f>
        <v/>
      </c>
      <c r="T9" s="25">
        <f>S9-R9-O9</f>
        <v/>
      </c>
      <c r="U9" s="26">
        <f>IF(O9&gt;0,Q9/O9,0)</f>
        <v/>
      </c>
      <c r="V9" s="24">
        <f>IF(O9&gt;0,T9/O9,0)</f>
        <v/>
      </c>
    </row>
    <row r="10">
      <c r="A10" s="15" t="n">
        <v>9</v>
      </c>
      <c r="B10" s="16" t="inlineStr">
        <is>
          <t>Yasmin Oliveira</t>
        </is>
      </c>
      <c r="C10" s="16" t="inlineStr">
        <is>
          <t>@yasmin.aoliveira</t>
        </is>
      </c>
      <c r="D10" s="17" t="inlineStr">
        <is>
          <t>Enviado</t>
        </is>
      </c>
      <c r="E10" s="15" t="inlineStr">
        <is>
          <t>2025-07</t>
        </is>
      </c>
      <c r="F10" s="15" t="inlineStr">
        <is>
          <t>2025-07-18</t>
        </is>
      </c>
      <c r="G10" s="15" t="inlineStr">
        <is>
          <t>2025-07-18</t>
        </is>
      </c>
      <c r="H10" s="15" t="n">
        <v>1</v>
      </c>
      <c r="I10" s="15" t="n">
        <v>1</v>
      </c>
      <c r="J10" s="15" t="n">
        <v>0</v>
      </c>
      <c r="K10" s="15" t="n">
        <v>1</v>
      </c>
      <c r="L10" s="18" t="n">
        <v>0.08</v>
      </c>
      <c r="M10" s="19">
        <f>I10*Resumo!$C$6</f>
        <v/>
      </c>
      <c r="N10" s="19">
        <f>IF(I10&gt;0,Resumo!$C$7,0)</f>
        <v/>
      </c>
      <c r="O10" s="19">
        <f>M10+N10</f>
        <v/>
      </c>
      <c r="P10" s="15" t="n">
        <v>0</v>
      </c>
      <c r="Q10" s="19" t="n">
        <v>0</v>
      </c>
      <c r="R10" s="19" t="n">
        <v>0</v>
      </c>
      <c r="S10" s="19">
        <f>Q10*Resumo!$C$8</f>
        <v/>
      </c>
      <c r="T10" s="19">
        <f>S10-R10-O10</f>
        <v/>
      </c>
      <c r="U10" s="20">
        <f>IF(O10&gt;0,Q10/O10,0)</f>
        <v/>
      </c>
      <c r="V10" s="18">
        <f>IF(O10&gt;0,T10/O10,0)</f>
        <v/>
      </c>
    </row>
    <row r="11">
      <c r="A11" s="21" t="n">
        <v>10</v>
      </c>
      <c r="B11" s="22" t="inlineStr">
        <is>
          <t>numarchi</t>
        </is>
      </c>
      <c r="C11" s="22" t="inlineStr">
        <is>
          <t>@numarchi</t>
        </is>
      </c>
      <c r="D11" s="23" t="inlineStr">
        <is>
          <t>Enviado</t>
        </is>
      </c>
      <c r="E11" s="21" t="inlineStr">
        <is>
          <t>2025-07</t>
        </is>
      </c>
      <c r="F11" s="21" t="inlineStr">
        <is>
          <t>2025-07-21</t>
        </is>
      </c>
      <c r="G11" s="21" t="inlineStr">
        <is>
          <t>2025-07-21</t>
        </is>
      </c>
      <c r="H11" s="21" t="n">
        <v>1</v>
      </c>
      <c r="I11" s="21" t="n">
        <v>1</v>
      </c>
      <c r="J11" s="21" t="n">
        <v>0</v>
      </c>
      <c r="K11" s="21" t="n">
        <v>1</v>
      </c>
      <c r="L11" s="24" t="n">
        <v>0.12</v>
      </c>
      <c r="M11" s="25">
        <f>I11*Resumo!$C$6</f>
        <v/>
      </c>
      <c r="N11" s="25">
        <f>IF(I11&gt;0,Resumo!$C$7,0)</f>
        <v/>
      </c>
      <c r="O11" s="25">
        <f>M11+N11</f>
        <v/>
      </c>
      <c r="P11" s="21" t="n">
        <v>0</v>
      </c>
      <c r="Q11" s="25" t="n">
        <v>0</v>
      </c>
      <c r="R11" s="25" t="n">
        <v>0</v>
      </c>
      <c r="S11" s="25">
        <f>Q11*Resumo!$C$8</f>
        <v/>
      </c>
      <c r="T11" s="25">
        <f>S11-R11-O11</f>
        <v/>
      </c>
      <c r="U11" s="26">
        <f>IF(O11&gt;0,Q11/O11,0)</f>
        <v/>
      </c>
      <c r="V11" s="24">
        <f>IF(O11&gt;0,T11/O11,0)</f>
        <v/>
      </c>
    </row>
    <row r="12">
      <c r="A12" s="15" t="n">
        <v>11</v>
      </c>
      <c r="B12" s="16" t="inlineStr">
        <is>
          <t>Roberta Frias</t>
        </is>
      </c>
      <c r="C12" s="16" t="inlineStr">
        <is>
          <t>@robertafrias</t>
        </is>
      </c>
      <c r="D12" s="17" t="inlineStr">
        <is>
          <t>Enviado</t>
        </is>
      </c>
      <c r="E12" s="15" t="inlineStr">
        <is>
          <t>2025-08</t>
        </is>
      </c>
      <c r="F12" s="15" t="inlineStr">
        <is>
          <t>2025-08-09</t>
        </is>
      </c>
      <c r="G12" s="15" t="inlineStr">
        <is>
          <t>2025-08-09</t>
        </is>
      </c>
      <c r="H12" s="15" t="n">
        <v>1</v>
      </c>
      <c r="I12" s="15" t="n">
        <v>1</v>
      </c>
      <c r="J12" s="15" t="n">
        <v>0</v>
      </c>
      <c r="K12" s="15" t="n">
        <v>1</v>
      </c>
      <c r="L12" s="18" t="n">
        <v>0.08</v>
      </c>
      <c r="M12" s="19">
        <f>I12*Resumo!$C$6</f>
        <v/>
      </c>
      <c r="N12" s="19">
        <f>IF(I12&gt;0,Resumo!$C$7,0)</f>
        <v/>
      </c>
      <c r="O12" s="19">
        <f>M12+N12</f>
        <v/>
      </c>
      <c r="P12" s="15" t="n">
        <v>1</v>
      </c>
      <c r="Q12" s="19" t="n">
        <v>79.90000000000001</v>
      </c>
      <c r="R12" s="19" t="n">
        <v>7.99</v>
      </c>
      <c r="S12" s="19">
        <f>Q12*Resumo!$C$8</f>
        <v/>
      </c>
      <c r="T12" s="19">
        <f>S12-R12-O12</f>
        <v/>
      </c>
      <c r="U12" s="20">
        <f>IF(O12&gt;0,Q12/O12,0)</f>
        <v/>
      </c>
      <c r="V12" s="18">
        <f>IF(O12&gt;0,T12/O12,0)</f>
        <v/>
      </c>
    </row>
    <row r="13">
      <c r="A13" s="21" t="n">
        <v>12</v>
      </c>
      <c r="B13" s="22" t="inlineStr">
        <is>
          <t>Patty Lazzarotto</t>
        </is>
      </c>
      <c r="C13" s="22" t="inlineStr">
        <is>
          <t>@pattylazzarotto</t>
        </is>
      </c>
      <c r="D13" s="23" t="inlineStr">
        <is>
          <t>Enviado</t>
        </is>
      </c>
      <c r="E13" s="21" t="inlineStr">
        <is>
          <t>2025-08</t>
        </is>
      </c>
      <c r="F13" s="21" t="inlineStr">
        <is>
          <t>2025-08-12</t>
        </is>
      </c>
      <c r="G13" s="21" t="inlineStr">
        <is>
          <t>2025-08-12</t>
        </is>
      </c>
      <c r="H13" s="21" t="n">
        <v>1</v>
      </c>
      <c r="I13" s="21" t="n">
        <v>1</v>
      </c>
      <c r="J13" s="21" t="n">
        <v>0</v>
      </c>
      <c r="K13" s="21" t="n">
        <v>1</v>
      </c>
      <c r="L13" s="24" t="n">
        <v>0.12</v>
      </c>
      <c r="M13" s="25">
        <f>I13*Resumo!$C$6</f>
        <v/>
      </c>
      <c r="N13" s="25">
        <f>IF(I13&gt;0,Resumo!$C$7,0)</f>
        <v/>
      </c>
      <c r="O13" s="25">
        <f>M13+N13</f>
        <v/>
      </c>
      <c r="P13" s="21" t="n">
        <v>188</v>
      </c>
      <c r="Q13" s="25" t="n">
        <v>15615.74</v>
      </c>
      <c r="R13" s="25" t="n">
        <v>617.3099999999999</v>
      </c>
      <c r="S13" s="25">
        <f>Q13*Resumo!$C$8</f>
        <v/>
      </c>
      <c r="T13" s="25">
        <f>S13-R13-O13</f>
        <v/>
      </c>
      <c r="U13" s="26">
        <f>IF(O13&gt;0,Q13/O13,0)</f>
        <v/>
      </c>
      <c r="V13" s="24">
        <f>IF(O13&gt;0,T13/O13,0)</f>
        <v/>
      </c>
    </row>
    <row r="14">
      <c r="A14" s="15" t="n">
        <v>13</v>
      </c>
      <c r="B14" s="16" t="inlineStr">
        <is>
          <t>Letícia</t>
        </is>
      </c>
      <c r="C14" s="16" t="inlineStr">
        <is>
          <t>@leticiatsec</t>
        </is>
      </c>
      <c r="D14" s="17" t="inlineStr">
        <is>
          <t>Enviado</t>
        </is>
      </c>
      <c r="E14" s="15" t="inlineStr">
        <is>
          <t>2025-09</t>
        </is>
      </c>
      <c r="F14" s="15" t="inlineStr">
        <is>
          <t>2025-09-17</t>
        </is>
      </c>
      <c r="G14" s="15" t="inlineStr">
        <is>
          <t>2025-09-28</t>
        </is>
      </c>
      <c r="H14" s="15" t="n">
        <v>2</v>
      </c>
      <c r="I14" s="15" t="n">
        <v>2</v>
      </c>
      <c r="J14" s="15" t="n">
        <v>0</v>
      </c>
      <c r="K14" s="15" t="n">
        <v>2</v>
      </c>
      <c r="L14" s="18" t="n">
        <v>0.08</v>
      </c>
      <c r="M14" s="19">
        <f>I14*Resumo!$C$6</f>
        <v/>
      </c>
      <c r="N14" s="19">
        <f>IF(I14&gt;0,Resumo!$C$7,0)</f>
        <v/>
      </c>
      <c r="O14" s="19">
        <f>M14+N14</f>
        <v/>
      </c>
      <c r="P14" s="15" t="n">
        <v>0</v>
      </c>
      <c r="Q14" s="19" t="n">
        <v>0</v>
      </c>
      <c r="R14" s="19" t="n">
        <v>0</v>
      </c>
      <c r="S14" s="19">
        <f>Q14*Resumo!$C$8</f>
        <v/>
      </c>
      <c r="T14" s="19">
        <f>S14-R14-O14</f>
        <v/>
      </c>
      <c r="U14" s="20">
        <f>IF(O14&gt;0,Q14/O14,0)</f>
        <v/>
      </c>
      <c r="V14" s="18">
        <f>IF(O14&gt;0,T14/O14,0)</f>
        <v/>
      </c>
    </row>
    <row r="15">
      <c r="A15" s="21" t="n">
        <v>14</v>
      </c>
      <c r="B15" s="22" t="inlineStr">
        <is>
          <t>thainabeautyoficial</t>
        </is>
      </c>
      <c r="C15" s="22" t="inlineStr">
        <is>
          <t>@thainabeautyoficial</t>
        </is>
      </c>
      <c r="D15" s="23" t="inlineStr">
        <is>
          <t>Enviado</t>
        </is>
      </c>
      <c r="E15" s="21" t="inlineStr">
        <is>
          <t>2025-09</t>
        </is>
      </c>
      <c r="F15" s="21" t="inlineStr">
        <is>
          <t>2025-09-25</t>
        </is>
      </c>
      <c r="G15" s="21" t="inlineStr">
        <is>
          <t>2025-09-25</t>
        </is>
      </c>
      <c r="H15" s="21" t="n">
        <v>1</v>
      </c>
      <c r="I15" s="21" t="n">
        <v>1</v>
      </c>
      <c r="J15" s="21" t="n">
        <v>0</v>
      </c>
      <c r="K15" s="21" t="n">
        <v>1</v>
      </c>
      <c r="L15" s="24" t="n">
        <v>0.12</v>
      </c>
      <c r="M15" s="25">
        <f>I15*Resumo!$C$6</f>
        <v/>
      </c>
      <c r="N15" s="25">
        <f>IF(I15&gt;0,Resumo!$C$7,0)</f>
        <v/>
      </c>
      <c r="O15" s="25">
        <f>M15+N15</f>
        <v/>
      </c>
      <c r="P15" s="21" t="n">
        <v>0</v>
      </c>
      <c r="Q15" s="25" t="n">
        <v>0</v>
      </c>
      <c r="R15" s="25" t="n">
        <v>0</v>
      </c>
      <c r="S15" s="25">
        <f>Q15*Resumo!$C$8</f>
        <v/>
      </c>
      <c r="T15" s="25">
        <f>S15-R15-O15</f>
        <v/>
      </c>
      <c r="U15" s="26">
        <f>IF(O15&gt;0,Q15/O15,0)</f>
        <v/>
      </c>
      <c r="V15" s="24">
        <f>IF(O15&gt;0,T15/O15,0)</f>
        <v/>
      </c>
    </row>
    <row r="16">
      <c r="A16" s="15" t="n">
        <v>15</v>
      </c>
      <c r="B16" s="16" t="inlineStr">
        <is>
          <t>anazirman</t>
        </is>
      </c>
      <c r="C16" s="16" t="inlineStr">
        <is>
          <t>@anazirmann</t>
        </is>
      </c>
      <c r="D16" s="17" t="inlineStr">
        <is>
          <t>Enviado</t>
        </is>
      </c>
      <c r="E16" s="15" t="inlineStr">
        <is>
          <t>2025-09</t>
        </is>
      </c>
      <c r="F16" s="15" t="inlineStr">
        <is>
          <t>2025-09-27</t>
        </is>
      </c>
      <c r="G16" s="15" t="inlineStr">
        <is>
          <t>2025-09-27</t>
        </is>
      </c>
      <c r="H16" s="15" t="n">
        <v>1</v>
      </c>
      <c r="I16" s="15" t="n">
        <v>1</v>
      </c>
      <c r="J16" s="15" t="n">
        <v>0</v>
      </c>
      <c r="K16" s="15" t="n">
        <v>1</v>
      </c>
      <c r="L16" s="18" t="n">
        <v>0.08</v>
      </c>
      <c r="M16" s="19">
        <f>I16*Resumo!$C$6</f>
        <v/>
      </c>
      <c r="N16" s="19">
        <f>IF(I16&gt;0,Resumo!$C$7,0)</f>
        <v/>
      </c>
      <c r="O16" s="19">
        <f>M16+N16</f>
        <v/>
      </c>
      <c r="P16" s="15" t="n">
        <v>0</v>
      </c>
      <c r="Q16" s="19" t="n">
        <v>0</v>
      </c>
      <c r="R16" s="19" t="n">
        <v>0</v>
      </c>
      <c r="S16" s="19">
        <f>Q16*Resumo!$C$8</f>
        <v/>
      </c>
      <c r="T16" s="19">
        <f>S16-R16-O16</f>
        <v/>
      </c>
      <c r="U16" s="20">
        <f>IF(O16&gt;0,Q16/O16,0)</f>
        <v/>
      </c>
      <c r="V16" s="18">
        <f>IF(O16&gt;0,T16/O16,0)</f>
        <v/>
      </c>
    </row>
    <row r="17">
      <c r="A17" s="21" t="n">
        <v>16</v>
      </c>
      <c r="B17" s="22" t="inlineStr">
        <is>
          <t>Gabbi 🌟</t>
        </is>
      </c>
      <c r="C17" s="22" t="inlineStr">
        <is>
          <t>@gabbizie</t>
        </is>
      </c>
      <c r="D17" s="23" t="inlineStr">
        <is>
          <t>Enviado</t>
        </is>
      </c>
      <c r="E17" s="21" t="inlineStr">
        <is>
          <t>2025-09</t>
        </is>
      </c>
      <c r="F17" s="21" t="inlineStr">
        <is>
          <t>2025-09-27</t>
        </is>
      </c>
      <c r="G17" s="21" t="inlineStr">
        <is>
          <t>2025-09-27</t>
        </is>
      </c>
      <c r="H17" s="21" t="n">
        <v>2</v>
      </c>
      <c r="I17" s="21" t="n">
        <v>2</v>
      </c>
      <c r="J17" s="21" t="n">
        <v>0</v>
      </c>
      <c r="K17" s="21" t="n">
        <v>2</v>
      </c>
      <c r="L17" s="24" t="n">
        <v>0.12</v>
      </c>
      <c r="M17" s="25">
        <f>I17*Resumo!$C$6</f>
        <v/>
      </c>
      <c r="N17" s="25">
        <f>IF(I17&gt;0,Resumo!$C$7,0)</f>
        <v/>
      </c>
      <c r="O17" s="25">
        <f>M17+N17</f>
        <v/>
      </c>
      <c r="P17" s="21" t="n">
        <v>0</v>
      </c>
      <c r="Q17" s="25" t="n">
        <v>0</v>
      </c>
      <c r="R17" s="25" t="n">
        <v>0</v>
      </c>
      <c r="S17" s="25">
        <f>Q17*Resumo!$C$8</f>
        <v/>
      </c>
      <c r="T17" s="25">
        <f>S17-R17-O17</f>
        <v/>
      </c>
      <c r="U17" s="26">
        <f>IF(O17&gt;0,Q17/O17,0)</f>
        <v/>
      </c>
      <c r="V17" s="24">
        <f>IF(O17&gt;0,T17/O17,0)</f>
        <v/>
      </c>
    </row>
    <row r="18">
      <c r="A18" s="15" t="n">
        <v>17</v>
      </c>
      <c r="B18" s="16" t="inlineStr">
        <is>
          <t>numarchi</t>
        </is>
      </c>
      <c r="C18" s="16" t="inlineStr">
        <is>
          <t>@numarchi</t>
        </is>
      </c>
      <c r="D18" s="17" t="inlineStr">
        <is>
          <t>Enviado</t>
        </is>
      </c>
      <c r="E18" s="15" t="inlineStr">
        <is>
          <t>2025-09</t>
        </is>
      </c>
      <c r="F18" s="15" t="inlineStr">
        <is>
          <t>2025-09-27</t>
        </is>
      </c>
      <c r="G18" s="15" t="inlineStr">
        <is>
          <t>2025-09-27</t>
        </is>
      </c>
      <c r="H18" s="15" t="n">
        <v>4</v>
      </c>
      <c r="I18" s="15" t="n">
        <v>4</v>
      </c>
      <c r="J18" s="15" t="n">
        <v>0</v>
      </c>
      <c r="K18" s="15" t="n">
        <v>4</v>
      </c>
      <c r="L18" s="18" t="n">
        <v>0.12</v>
      </c>
      <c r="M18" s="19">
        <f>I18*Resumo!$C$6</f>
        <v/>
      </c>
      <c r="N18" s="19">
        <f>IF(I18&gt;0,Resumo!$C$7,0)</f>
        <v/>
      </c>
      <c r="O18" s="19">
        <f>M18+N18</f>
        <v/>
      </c>
      <c r="P18" s="15" t="n">
        <v>0</v>
      </c>
      <c r="Q18" s="19" t="n">
        <v>0</v>
      </c>
      <c r="R18" s="19" t="n">
        <v>0</v>
      </c>
      <c r="S18" s="19">
        <f>Q18*Resumo!$C$8</f>
        <v/>
      </c>
      <c r="T18" s="19">
        <f>S18-R18-O18</f>
        <v/>
      </c>
      <c r="U18" s="20">
        <f>IF(O18&gt;0,Q18/O18,0)</f>
        <v/>
      </c>
      <c r="V18" s="18">
        <f>IF(O18&gt;0,T18/O18,0)</f>
        <v/>
      </c>
    </row>
    <row r="19">
      <c r="A19" s="21" t="n">
        <v>18</v>
      </c>
      <c r="B19" s="22" t="inlineStr">
        <is>
          <t>Jess Mesant</t>
        </is>
      </c>
      <c r="C19" s="22" t="inlineStr">
        <is>
          <t>@jessicamesant</t>
        </is>
      </c>
      <c r="D19" s="23" t="inlineStr">
        <is>
          <t>Enviado</t>
        </is>
      </c>
      <c r="E19" s="21" t="inlineStr">
        <is>
          <t>2025-09</t>
        </is>
      </c>
      <c r="F19" s="21" t="inlineStr">
        <is>
          <t>2025-09-28</t>
        </is>
      </c>
      <c r="G19" s="21" t="inlineStr">
        <is>
          <t>2025-09-28</t>
        </is>
      </c>
      <c r="H19" s="21" t="n">
        <v>2</v>
      </c>
      <c r="I19" s="21" t="n">
        <v>2</v>
      </c>
      <c r="J19" s="21" t="n">
        <v>0</v>
      </c>
      <c r="K19" s="21" t="n">
        <v>2</v>
      </c>
      <c r="L19" s="24" t="n">
        <v>0.12</v>
      </c>
      <c r="M19" s="25">
        <f>I19*Resumo!$C$6</f>
        <v/>
      </c>
      <c r="N19" s="25">
        <f>IF(I19&gt;0,Resumo!$C$7,0)</f>
        <v/>
      </c>
      <c r="O19" s="25">
        <f>M19+N19</f>
        <v/>
      </c>
      <c r="P19" s="21" t="n">
        <v>0</v>
      </c>
      <c r="Q19" s="25" t="n">
        <v>0</v>
      </c>
      <c r="R19" s="25" t="n">
        <v>0</v>
      </c>
      <c r="S19" s="25">
        <f>Q19*Resumo!$C$8</f>
        <v/>
      </c>
      <c r="T19" s="25">
        <f>S19-R19-O19</f>
        <v/>
      </c>
      <c r="U19" s="26">
        <f>IF(O19&gt;0,Q19/O19,0)</f>
        <v/>
      </c>
      <c r="V19" s="24">
        <f>IF(O19&gt;0,T19/O19,0)</f>
        <v/>
      </c>
    </row>
    <row r="20">
      <c r="A20" s="15" t="n">
        <v>19</v>
      </c>
      <c r="B20" s="16" t="inlineStr">
        <is>
          <t>Érica  🦁✨</t>
        </is>
      </c>
      <c r="C20" s="16" t="inlineStr">
        <is>
          <t>@ericamcabeluda</t>
        </is>
      </c>
      <c r="D20" s="17" t="inlineStr">
        <is>
          <t>Enviado</t>
        </is>
      </c>
      <c r="E20" s="15" t="inlineStr">
        <is>
          <t>2025-09</t>
        </is>
      </c>
      <c r="F20" s="15" t="inlineStr">
        <is>
          <t>2025-09-29</t>
        </is>
      </c>
      <c r="G20" s="15" t="inlineStr">
        <is>
          <t>2025-09-29</t>
        </is>
      </c>
      <c r="H20" s="15" t="n">
        <v>1</v>
      </c>
      <c r="I20" s="15" t="n">
        <v>1</v>
      </c>
      <c r="J20" s="15" t="n">
        <v>0</v>
      </c>
      <c r="K20" s="15" t="n">
        <v>1</v>
      </c>
      <c r="L20" s="18" t="n">
        <v>0.12</v>
      </c>
      <c r="M20" s="19">
        <f>I20*Resumo!$C$6</f>
        <v/>
      </c>
      <c r="N20" s="19">
        <f>IF(I20&gt;0,Resumo!$C$7,0)</f>
        <v/>
      </c>
      <c r="O20" s="19">
        <f>M20+N20</f>
        <v/>
      </c>
      <c r="P20" s="15" t="n">
        <v>1317</v>
      </c>
      <c r="Q20" s="19" t="n">
        <v>111681.35</v>
      </c>
      <c r="R20" s="19" t="n">
        <v>7943.78</v>
      </c>
      <c r="S20" s="19">
        <f>Q20*Resumo!$C$8</f>
        <v/>
      </c>
      <c r="T20" s="19">
        <f>S20-R20-O20</f>
        <v/>
      </c>
      <c r="U20" s="20">
        <f>IF(O20&gt;0,Q20/O20,0)</f>
        <v/>
      </c>
      <c r="V20" s="18">
        <f>IF(O20&gt;0,T20/O20,0)</f>
        <v/>
      </c>
    </row>
    <row r="21">
      <c r="A21" s="21" t="n">
        <v>20</v>
      </c>
      <c r="B21" s="22" t="inlineStr">
        <is>
          <t>Monica Pereira</t>
        </is>
      </c>
      <c r="C21" s="22" t="inlineStr">
        <is>
          <t>@monicap.pereira</t>
        </is>
      </c>
      <c r="D21" s="23" t="inlineStr">
        <is>
          <t>Enviado</t>
        </is>
      </c>
      <c r="E21" s="21" t="inlineStr">
        <is>
          <t>2025-09</t>
        </is>
      </c>
      <c r="F21" s="21" t="inlineStr">
        <is>
          <t>2025-09-29</t>
        </is>
      </c>
      <c r="G21" s="21" t="inlineStr">
        <is>
          <t>2025-09-29</t>
        </is>
      </c>
      <c r="H21" s="21" t="n">
        <v>1</v>
      </c>
      <c r="I21" s="21" t="n">
        <v>1</v>
      </c>
      <c r="J21" s="21" t="n">
        <v>0</v>
      </c>
      <c r="K21" s="21" t="n">
        <v>1</v>
      </c>
      <c r="L21" s="24" t="n">
        <v>0.08</v>
      </c>
      <c r="M21" s="25">
        <f>I21*Resumo!$C$6</f>
        <v/>
      </c>
      <c r="N21" s="25">
        <f>IF(I21&gt;0,Resumo!$C$7,0)</f>
        <v/>
      </c>
      <c r="O21" s="25">
        <f>M21+N21</f>
        <v/>
      </c>
      <c r="P21" s="21" t="n">
        <v>110</v>
      </c>
      <c r="Q21" s="25" t="n">
        <v>10502.11</v>
      </c>
      <c r="R21" s="25" t="n">
        <v>397.63</v>
      </c>
      <c r="S21" s="25">
        <f>Q21*Resumo!$C$8</f>
        <v/>
      </c>
      <c r="T21" s="25">
        <f>S21-R21-O21</f>
        <v/>
      </c>
      <c r="U21" s="26">
        <f>IF(O21&gt;0,Q21/O21,0)</f>
        <v/>
      </c>
      <c r="V21" s="24">
        <f>IF(O21&gt;0,T21/O21,0)</f>
        <v/>
      </c>
    </row>
    <row r="22">
      <c r="A22" s="15" t="n">
        <v>21</v>
      </c>
      <c r="B22" s="16" t="inlineStr">
        <is>
          <t>Lara Pollo</t>
        </is>
      </c>
      <c r="C22" s="16" t="inlineStr">
        <is>
          <t>@dailylarapollo</t>
        </is>
      </c>
      <c r="D22" s="17" t="inlineStr">
        <is>
          <t>Enviado</t>
        </is>
      </c>
      <c r="E22" s="15" t="inlineStr">
        <is>
          <t>2025-09</t>
        </is>
      </c>
      <c r="F22" s="15" t="inlineStr">
        <is>
          <t>2025-09-29</t>
        </is>
      </c>
      <c r="G22" s="15" t="inlineStr">
        <is>
          <t>2025-09-29</t>
        </is>
      </c>
      <c r="H22" s="15" t="n">
        <v>1</v>
      </c>
      <c r="I22" s="15" t="n">
        <v>1</v>
      </c>
      <c r="J22" s="15" t="n">
        <v>0</v>
      </c>
      <c r="K22" s="15" t="n">
        <v>1</v>
      </c>
      <c r="L22" s="18" t="n">
        <v>0.08</v>
      </c>
      <c r="M22" s="19">
        <f>I22*Resumo!$C$6</f>
        <v/>
      </c>
      <c r="N22" s="19">
        <f>IF(I22&gt;0,Resumo!$C$7,0)</f>
        <v/>
      </c>
      <c r="O22" s="19">
        <f>M22+N22</f>
        <v/>
      </c>
      <c r="P22" s="15" t="n">
        <v>1</v>
      </c>
      <c r="Q22" s="19" t="n">
        <v>199.8</v>
      </c>
      <c r="R22" s="19" t="n">
        <v>15.98</v>
      </c>
      <c r="S22" s="19">
        <f>Q22*Resumo!$C$8</f>
        <v/>
      </c>
      <c r="T22" s="19">
        <f>S22-R22-O22</f>
        <v/>
      </c>
      <c r="U22" s="20">
        <f>IF(O22&gt;0,Q22/O22,0)</f>
        <v/>
      </c>
      <c r="V22" s="18">
        <f>IF(O22&gt;0,T22/O22,0)</f>
        <v/>
      </c>
    </row>
    <row r="23">
      <c r="A23" s="21" t="n">
        <v>22</v>
      </c>
      <c r="B23" s="22" t="inlineStr">
        <is>
          <t>Andressa N</t>
        </is>
      </c>
      <c r="C23" s="22" t="inlineStr">
        <is>
          <t>@andressanunes_hey</t>
        </is>
      </c>
      <c r="D23" s="23" t="inlineStr">
        <is>
          <t>Enviado</t>
        </is>
      </c>
      <c r="E23" s="21" t="inlineStr">
        <is>
          <t>2025-09</t>
        </is>
      </c>
      <c r="F23" s="21" t="inlineStr">
        <is>
          <t>2025-09-29</t>
        </is>
      </c>
      <c r="G23" s="21" t="inlineStr">
        <is>
          <t>2025-09-29</t>
        </is>
      </c>
      <c r="H23" s="21" t="n">
        <v>1</v>
      </c>
      <c r="I23" s="21" t="n">
        <v>1</v>
      </c>
      <c r="J23" s="21" t="n">
        <v>0</v>
      </c>
      <c r="K23" s="21" t="n">
        <v>1</v>
      </c>
      <c r="L23" s="24" t="n">
        <v>0.08</v>
      </c>
      <c r="M23" s="25">
        <f>I23*Resumo!$C$6</f>
        <v/>
      </c>
      <c r="N23" s="25">
        <f>IF(I23&gt;0,Resumo!$C$7,0)</f>
        <v/>
      </c>
      <c r="O23" s="25">
        <f>M23+N23</f>
        <v/>
      </c>
      <c r="P23" s="21" t="n">
        <v>0</v>
      </c>
      <c r="Q23" s="25" t="n">
        <v>0</v>
      </c>
      <c r="R23" s="25" t="n">
        <v>0</v>
      </c>
      <c r="S23" s="25">
        <f>Q23*Resumo!$C$8</f>
        <v/>
      </c>
      <c r="T23" s="25">
        <f>S23-R23-O23</f>
        <v/>
      </c>
      <c r="U23" s="26">
        <f>IF(O23&gt;0,Q23/O23,0)</f>
        <v/>
      </c>
      <c r="V23" s="24">
        <f>IF(O23&gt;0,T23/O23,0)</f>
        <v/>
      </c>
    </row>
    <row r="24">
      <c r="A24" s="15" t="n">
        <v>23</v>
      </c>
      <c r="B24" s="16" t="inlineStr">
        <is>
          <t>melissascostaa</t>
        </is>
      </c>
      <c r="C24" s="16" t="inlineStr">
        <is>
          <t>@melissascostaa</t>
        </is>
      </c>
      <c r="D24" s="17" t="inlineStr">
        <is>
          <t>Enviado</t>
        </is>
      </c>
      <c r="E24" s="15" t="inlineStr">
        <is>
          <t>2025-09</t>
        </is>
      </c>
      <c r="F24" s="15" t="inlineStr">
        <is>
          <t>2025-09-29</t>
        </is>
      </c>
      <c r="G24" s="15" t="inlineStr">
        <is>
          <t>2025-09-29</t>
        </is>
      </c>
      <c r="H24" s="15" t="n">
        <v>1</v>
      </c>
      <c r="I24" s="15" t="n">
        <v>1</v>
      </c>
      <c r="J24" s="15" t="n">
        <v>0</v>
      </c>
      <c r="K24" s="15" t="n">
        <v>1</v>
      </c>
      <c r="L24" s="18" t="n">
        <v>0.08</v>
      </c>
      <c r="M24" s="19">
        <f>I24*Resumo!$C$6</f>
        <v/>
      </c>
      <c r="N24" s="19">
        <f>IF(I24&gt;0,Resumo!$C$7,0)</f>
        <v/>
      </c>
      <c r="O24" s="19">
        <f>M24+N24</f>
        <v/>
      </c>
      <c r="P24" s="15" t="n">
        <v>0</v>
      </c>
      <c r="Q24" s="19" t="n">
        <v>0</v>
      </c>
      <c r="R24" s="19" t="n">
        <v>0</v>
      </c>
      <c r="S24" s="19">
        <f>Q24*Resumo!$C$8</f>
        <v/>
      </c>
      <c r="T24" s="19">
        <f>S24-R24-O24</f>
        <v/>
      </c>
      <c r="U24" s="20">
        <f>IF(O24&gt;0,Q24/O24,0)</f>
        <v/>
      </c>
      <c r="V24" s="18">
        <f>IF(O24&gt;0,T24/O24,0)</f>
        <v/>
      </c>
    </row>
    <row r="25">
      <c r="A25" s="21" t="n">
        <v>24</v>
      </c>
      <c r="B25" s="22" t="inlineStr">
        <is>
          <t>Thami Brambilla</t>
        </is>
      </c>
      <c r="C25" s="22" t="inlineStr">
        <is>
          <t>@thami.brambilla</t>
        </is>
      </c>
      <c r="D25" s="23" t="inlineStr">
        <is>
          <t>Enviado</t>
        </is>
      </c>
      <c r="E25" s="21" t="inlineStr">
        <is>
          <t>2025-09</t>
        </is>
      </c>
      <c r="F25" s="21" t="inlineStr">
        <is>
          <t>2025-09-29</t>
        </is>
      </c>
      <c r="G25" s="21" t="inlineStr">
        <is>
          <t>2025-09-29</t>
        </is>
      </c>
      <c r="H25" s="21" t="n">
        <v>1</v>
      </c>
      <c r="I25" s="21" t="n">
        <v>1</v>
      </c>
      <c r="J25" s="21" t="n">
        <v>0</v>
      </c>
      <c r="K25" s="21" t="n">
        <v>1</v>
      </c>
      <c r="L25" s="24" t="n">
        <v>0.12</v>
      </c>
      <c r="M25" s="25">
        <f>I25*Resumo!$C$6</f>
        <v/>
      </c>
      <c r="N25" s="25">
        <f>IF(I25&gt;0,Resumo!$C$7,0)</f>
        <v/>
      </c>
      <c r="O25" s="25">
        <f>M25+N25</f>
        <v/>
      </c>
      <c r="P25" s="21" t="n">
        <v>0</v>
      </c>
      <c r="Q25" s="25" t="n">
        <v>0</v>
      </c>
      <c r="R25" s="25" t="n">
        <v>0</v>
      </c>
      <c r="S25" s="25">
        <f>Q25*Resumo!$C$8</f>
        <v/>
      </c>
      <c r="T25" s="25">
        <f>S25-R25-O25</f>
        <v/>
      </c>
      <c r="U25" s="26">
        <f>IF(O25&gt;0,Q25/O25,0)</f>
        <v/>
      </c>
      <c r="V25" s="24">
        <f>IF(O25&gt;0,T25/O25,0)</f>
        <v/>
      </c>
    </row>
    <row r="26">
      <c r="A26" s="15" t="n">
        <v>25</v>
      </c>
      <c r="B26" s="16" t="inlineStr">
        <is>
          <t>Nicole Sehn</t>
        </is>
      </c>
      <c r="C26" s="16" t="inlineStr">
        <is>
          <t>@niicksehn</t>
        </is>
      </c>
      <c r="D26" s="17" t="inlineStr">
        <is>
          <t>Enviado</t>
        </is>
      </c>
      <c r="E26" s="15" t="inlineStr">
        <is>
          <t>2025-09</t>
        </is>
      </c>
      <c r="F26" s="15" t="inlineStr">
        <is>
          <t>2025-09-30</t>
        </is>
      </c>
      <c r="G26" s="15" t="inlineStr">
        <is>
          <t>2025-09-30</t>
        </is>
      </c>
      <c r="H26" s="15" t="n">
        <v>1</v>
      </c>
      <c r="I26" s="15" t="n">
        <v>1</v>
      </c>
      <c r="J26" s="15" t="n">
        <v>0</v>
      </c>
      <c r="K26" s="15" t="n">
        <v>1</v>
      </c>
      <c r="L26" s="18" t="n">
        <v>0.08</v>
      </c>
      <c r="M26" s="19">
        <f>I26*Resumo!$C$6</f>
        <v/>
      </c>
      <c r="N26" s="19">
        <f>IF(I26&gt;0,Resumo!$C$7,0)</f>
        <v/>
      </c>
      <c r="O26" s="19">
        <f>M26+N26</f>
        <v/>
      </c>
      <c r="P26" s="15" t="n">
        <v>0</v>
      </c>
      <c r="Q26" s="19" t="n">
        <v>0</v>
      </c>
      <c r="R26" s="19" t="n">
        <v>0</v>
      </c>
      <c r="S26" s="19">
        <f>Q26*Resumo!$C$8</f>
        <v/>
      </c>
      <c r="T26" s="19">
        <f>S26-R26-O26</f>
        <v/>
      </c>
      <c r="U26" s="20">
        <f>IF(O26&gt;0,Q26/O26,0)</f>
        <v/>
      </c>
      <c r="V26" s="18">
        <f>IF(O26&gt;0,T26/O26,0)</f>
        <v/>
      </c>
    </row>
    <row r="27">
      <c r="A27" s="21" t="n">
        <v>26</v>
      </c>
      <c r="B27" s="22" t="inlineStr">
        <is>
          <t>Yasmin Oliveira</t>
        </is>
      </c>
      <c r="C27" s="22" t="inlineStr">
        <is>
          <t>@yasmin.aoliveira</t>
        </is>
      </c>
      <c r="D27" s="23" t="inlineStr">
        <is>
          <t>Enviado</t>
        </is>
      </c>
      <c r="E27" s="21" t="inlineStr">
        <is>
          <t>2025-10</t>
        </is>
      </c>
      <c r="F27" s="21" t="inlineStr">
        <is>
          <t>2025-10-01</t>
        </is>
      </c>
      <c r="G27" s="21" t="inlineStr">
        <is>
          <t>2025-10-01</t>
        </is>
      </c>
      <c r="H27" s="21" t="n">
        <v>4</v>
      </c>
      <c r="I27" s="21" t="n">
        <v>4</v>
      </c>
      <c r="J27" s="21" t="n">
        <v>0</v>
      </c>
      <c r="K27" s="21" t="n">
        <v>4</v>
      </c>
      <c r="L27" s="24" t="n">
        <v>0.08</v>
      </c>
      <c r="M27" s="25">
        <f>I27*Resumo!$C$6</f>
        <v/>
      </c>
      <c r="N27" s="25">
        <f>IF(I27&gt;0,Resumo!$C$7,0)</f>
        <v/>
      </c>
      <c r="O27" s="25">
        <f>M27+N27</f>
        <v/>
      </c>
      <c r="P27" s="21" t="n">
        <v>0</v>
      </c>
      <c r="Q27" s="25" t="n">
        <v>0</v>
      </c>
      <c r="R27" s="25" t="n">
        <v>0</v>
      </c>
      <c r="S27" s="25">
        <f>Q27*Resumo!$C$8</f>
        <v/>
      </c>
      <c r="T27" s="25">
        <f>S27-R27-O27</f>
        <v/>
      </c>
      <c r="U27" s="26">
        <f>IF(O27&gt;0,Q27/O27,0)</f>
        <v/>
      </c>
      <c r="V27" s="24">
        <f>IF(O27&gt;0,T27/O27,0)</f>
        <v/>
      </c>
    </row>
    <row r="28">
      <c r="A28" s="15" t="n">
        <v>27</v>
      </c>
      <c r="B28" s="16" t="inlineStr">
        <is>
          <t>Yasmim</t>
        </is>
      </c>
      <c r="C28" s="16" t="inlineStr">
        <is>
          <t>@yaponts</t>
        </is>
      </c>
      <c r="D28" s="17" t="inlineStr">
        <is>
          <t>Enviado</t>
        </is>
      </c>
      <c r="E28" s="15" t="inlineStr">
        <is>
          <t>2025-10</t>
        </is>
      </c>
      <c r="F28" s="15" t="inlineStr">
        <is>
          <t>2025-10-06</t>
        </is>
      </c>
      <c r="G28" s="15" t="inlineStr">
        <is>
          <t>2025-10-06</t>
        </is>
      </c>
      <c r="H28" s="15" t="n">
        <v>1</v>
      </c>
      <c r="I28" s="15" t="n">
        <v>1</v>
      </c>
      <c r="J28" s="15" t="n">
        <v>0</v>
      </c>
      <c r="K28" s="15" t="n">
        <v>1</v>
      </c>
      <c r="L28" s="18" t="n">
        <v>0.08</v>
      </c>
      <c r="M28" s="19">
        <f>I28*Resumo!$C$6</f>
        <v/>
      </c>
      <c r="N28" s="19">
        <f>IF(I28&gt;0,Resumo!$C$7,0)</f>
        <v/>
      </c>
      <c r="O28" s="19">
        <f>M28+N28</f>
        <v/>
      </c>
      <c r="P28" s="15" t="n">
        <v>10</v>
      </c>
      <c r="Q28" s="19" t="n">
        <v>791.29</v>
      </c>
      <c r="R28" s="19" t="n">
        <v>79.13</v>
      </c>
      <c r="S28" s="19">
        <f>Q28*Resumo!$C$8</f>
        <v/>
      </c>
      <c r="T28" s="19">
        <f>S28-R28-O28</f>
        <v/>
      </c>
      <c r="U28" s="20">
        <f>IF(O28&gt;0,Q28/O28,0)</f>
        <v/>
      </c>
      <c r="V28" s="18">
        <f>IF(O28&gt;0,T28/O28,0)</f>
        <v/>
      </c>
    </row>
    <row r="29">
      <c r="A29" s="21" t="n">
        <v>28</v>
      </c>
      <c r="B29" s="22" t="inlineStr">
        <is>
          <t>Laiane Novais</t>
        </is>
      </c>
      <c r="C29" s="22" t="inlineStr">
        <is>
          <t>@laianenovaisss</t>
        </is>
      </c>
      <c r="D29" s="23" t="inlineStr">
        <is>
          <t>Enviado</t>
        </is>
      </c>
      <c r="E29" s="21" t="inlineStr">
        <is>
          <t>2025-10</t>
        </is>
      </c>
      <c r="F29" s="21" t="inlineStr">
        <is>
          <t>2025-10-06</t>
        </is>
      </c>
      <c r="G29" s="21" t="inlineStr">
        <is>
          <t>2025-10-06</t>
        </is>
      </c>
      <c r="H29" s="21" t="n">
        <v>3</v>
      </c>
      <c r="I29" s="21" t="n">
        <v>2</v>
      </c>
      <c r="J29" s="21" t="n">
        <v>1</v>
      </c>
      <c r="K29" s="21" t="n">
        <v>3</v>
      </c>
      <c r="L29" s="24" t="n">
        <v>0.12</v>
      </c>
      <c r="M29" s="25">
        <f>I29*Resumo!$C$6</f>
        <v/>
      </c>
      <c r="N29" s="25">
        <f>IF(I29&gt;0,Resumo!$C$7,0)</f>
        <v/>
      </c>
      <c r="O29" s="25">
        <f>M29+N29</f>
        <v/>
      </c>
      <c r="P29" s="21" t="n">
        <v>0</v>
      </c>
      <c r="Q29" s="25" t="n">
        <v>0</v>
      </c>
      <c r="R29" s="25" t="n">
        <v>0</v>
      </c>
      <c r="S29" s="25">
        <f>Q29*Resumo!$C$8</f>
        <v/>
      </c>
      <c r="T29" s="25">
        <f>S29-R29-O29</f>
        <v/>
      </c>
      <c r="U29" s="26">
        <f>IF(O29&gt;0,Q29/O29,0)</f>
        <v/>
      </c>
      <c r="V29" s="24">
        <f>IF(O29&gt;0,T29/O29,0)</f>
        <v/>
      </c>
    </row>
    <row r="30">
      <c r="A30" s="15" t="n">
        <v>29</v>
      </c>
      <c r="B30" s="16" t="inlineStr">
        <is>
          <t>thainabeautyoficial</t>
        </is>
      </c>
      <c r="C30" s="16" t="inlineStr">
        <is>
          <t>@thainabeautyoficial</t>
        </is>
      </c>
      <c r="D30" s="17" t="inlineStr">
        <is>
          <t>Enviado</t>
        </is>
      </c>
      <c r="E30" s="15" t="inlineStr">
        <is>
          <t>2025-10</t>
        </is>
      </c>
      <c r="F30" s="15" t="inlineStr">
        <is>
          <t>2025-10-07</t>
        </is>
      </c>
      <c r="G30" s="15" t="inlineStr">
        <is>
          <t>2025-10-07</t>
        </is>
      </c>
      <c r="H30" s="15" t="n">
        <v>4</v>
      </c>
      <c r="I30" s="15" t="n">
        <v>4</v>
      </c>
      <c r="J30" s="15" t="n">
        <v>0</v>
      </c>
      <c r="K30" s="15" t="n">
        <v>4</v>
      </c>
      <c r="L30" s="18" t="n">
        <v>0.12</v>
      </c>
      <c r="M30" s="19">
        <f>I30*Resumo!$C$6</f>
        <v/>
      </c>
      <c r="N30" s="19">
        <f>IF(I30&gt;0,Resumo!$C$7,0)</f>
        <v/>
      </c>
      <c r="O30" s="19">
        <f>M30+N30</f>
        <v/>
      </c>
      <c r="P30" s="15" t="n">
        <v>0</v>
      </c>
      <c r="Q30" s="19" t="n">
        <v>0</v>
      </c>
      <c r="R30" s="19" t="n">
        <v>0</v>
      </c>
      <c r="S30" s="19">
        <f>Q30*Resumo!$C$8</f>
        <v/>
      </c>
      <c r="T30" s="19">
        <f>S30-R30-O30</f>
        <v/>
      </c>
      <c r="U30" s="20">
        <f>IF(O30&gt;0,Q30/O30,0)</f>
        <v/>
      </c>
      <c r="V30" s="18">
        <f>IF(O30&gt;0,T30/O30,0)</f>
        <v/>
      </c>
    </row>
    <row r="31">
      <c r="A31" s="21" t="n">
        <v>30</v>
      </c>
      <c r="B31" s="22" t="inlineStr">
        <is>
          <t>família pimentel</t>
        </is>
      </c>
      <c r="C31" s="22" t="inlineStr">
        <is>
          <t>@.familiapimentel</t>
        </is>
      </c>
      <c r="D31" s="23" t="inlineStr">
        <is>
          <t>Enviado</t>
        </is>
      </c>
      <c r="E31" s="21" t="inlineStr">
        <is>
          <t>2025-11</t>
        </is>
      </c>
      <c r="F31" s="21" t="inlineStr">
        <is>
          <t>2025-11-11</t>
        </is>
      </c>
      <c r="G31" s="21" t="inlineStr">
        <is>
          <t>2025-11-11</t>
        </is>
      </c>
      <c r="H31" s="21" t="n">
        <v>5</v>
      </c>
      <c r="I31" s="21" t="n">
        <v>5</v>
      </c>
      <c r="J31" s="21" t="n">
        <v>0</v>
      </c>
      <c r="K31" s="21" t="n">
        <v>5</v>
      </c>
      <c r="L31" s="24" t="n">
        <v>0.08</v>
      </c>
      <c r="M31" s="25">
        <f>I31*Resumo!$C$6</f>
        <v/>
      </c>
      <c r="N31" s="25">
        <f>IF(I31&gt;0,Resumo!$C$7,0)</f>
        <v/>
      </c>
      <c r="O31" s="25">
        <f>M31+N31</f>
        <v/>
      </c>
      <c r="P31" s="21" t="n">
        <v>0</v>
      </c>
      <c r="Q31" s="25" t="n">
        <v>0</v>
      </c>
      <c r="R31" s="25" t="n">
        <v>0</v>
      </c>
      <c r="S31" s="25">
        <f>Q31*Resumo!$C$8</f>
        <v/>
      </c>
      <c r="T31" s="25">
        <f>S31-R31-O31</f>
        <v/>
      </c>
      <c r="U31" s="26">
        <f>IF(O31&gt;0,Q31/O31,0)</f>
        <v/>
      </c>
      <c r="V31" s="24">
        <f>IF(O31&gt;0,T31/O31,0)</f>
        <v/>
      </c>
    </row>
    <row r="32">
      <c r="A32" s="15" t="n">
        <v>31</v>
      </c>
      <c r="B32" s="16" t="inlineStr">
        <is>
          <t>thainabeautyoficial</t>
        </is>
      </c>
      <c r="C32" s="16" t="inlineStr">
        <is>
          <t>@thainabeautyoficial</t>
        </is>
      </c>
      <c r="D32" s="17" t="inlineStr">
        <is>
          <t>Enviado</t>
        </is>
      </c>
      <c r="E32" s="15" t="inlineStr">
        <is>
          <t>2025-12</t>
        </is>
      </c>
      <c r="F32" s="15" t="inlineStr">
        <is>
          <t>2025-12-11</t>
        </is>
      </c>
      <c r="G32" s="15" t="inlineStr">
        <is>
          <t>2025-12-11</t>
        </is>
      </c>
      <c r="H32" s="15" t="n">
        <v>8</v>
      </c>
      <c r="I32" s="15" t="n">
        <v>8</v>
      </c>
      <c r="J32" s="15" t="n">
        <v>0</v>
      </c>
      <c r="K32" s="15" t="n">
        <v>8</v>
      </c>
      <c r="L32" s="18" t="n">
        <v>0.12</v>
      </c>
      <c r="M32" s="19">
        <f>I32*Resumo!$C$6</f>
        <v/>
      </c>
      <c r="N32" s="19">
        <f>IF(I32&gt;0,Resumo!$C$7,0)</f>
        <v/>
      </c>
      <c r="O32" s="19">
        <f>M32+N32</f>
        <v/>
      </c>
      <c r="P32" s="15" t="n">
        <v>1180</v>
      </c>
      <c r="Q32" s="19" t="n">
        <v>97902.69</v>
      </c>
      <c r="R32" s="19" t="n">
        <v>4529.16</v>
      </c>
      <c r="S32" s="19">
        <f>Q32*Resumo!$C$8</f>
        <v/>
      </c>
      <c r="T32" s="19">
        <f>S32-R32-O32</f>
        <v/>
      </c>
      <c r="U32" s="20">
        <f>IF(O32&gt;0,Q32/O32,0)</f>
        <v/>
      </c>
      <c r="V32" s="18">
        <f>IF(O32&gt;0,T32/O32,0)</f>
        <v/>
      </c>
    </row>
    <row r="33">
      <c r="A33" s="27" t="n">
        <v>32</v>
      </c>
      <c r="B33" s="28" t="inlineStr">
        <is>
          <t>Laiane Novais</t>
        </is>
      </c>
      <c r="C33" s="28" t="inlineStr">
        <is>
          <t>@laianenovaisss</t>
        </is>
      </c>
      <c r="D33" s="29" t="inlineStr">
        <is>
          <t>Nada enviado</t>
        </is>
      </c>
      <c r="E33" s="27" t="inlineStr">
        <is>
          <t>2025-12</t>
        </is>
      </c>
      <c r="F33" s="27" t="inlineStr">
        <is>
          <t>2025-12-11</t>
        </is>
      </c>
      <c r="G33" s="27" t="inlineStr">
        <is>
          <t>2025-12-11</t>
        </is>
      </c>
      <c r="H33" s="27" t="n">
        <v>6</v>
      </c>
      <c r="I33" s="27" t="n">
        <v>0</v>
      </c>
      <c r="J33" s="27" t="n">
        <v>6</v>
      </c>
      <c r="K33" s="27" t="n">
        <v>6</v>
      </c>
      <c r="L33" s="30" t="n">
        <v>0.12</v>
      </c>
      <c r="M33" s="31">
        <f>I33*Resumo!$C$6</f>
        <v/>
      </c>
      <c r="N33" s="31">
        <f>IF(I33&gt;0,Resumo!$C$7,0)</f>
        <v/>
      </c>
      <c r="O33" s="31">
        <f>M33+N33</f>
        <v/>
      </c>
      <c r="P33" s="27" t="n">
        <v>950</v>
      </c>
      <c r="Q33" s="31" t="n">
        <v>81289.82000000001</v>
      </c>
      <c r="R33" s="31" t="n">
        <v>5127.94</v>
      </c>
      <c r="S33" s="31">
        <f>Q33*Resumo!$C$8</f>
        <v/>
      </c>
      <c r="T33" s="31">
        <f>S33-R33-O33</f>
        <v/>
      </c>
      <c r="U33" s="32">
        <f>IF(O33&gt;0,Q33/O33,0)</f>
        <v/>
      </c>
      <c r="V33" s="30">
        <f>IF(O33&gt;0,T33/O33,0)</f>
        <v/>
      </c>
    </row>
    <row r="34">
      <c r="A34" s="15" t="n">
        <v>33</v>
      </c>
      <c r="B34" s="16" t="inlineStr">
        <is>
          <t>Letícia</t>
        </is>
      </c>
      <c r="C34" s="16" t="inlineStr">
        <is>
          <t>@leticiatsec</t>
        </is>
      </c>
      <c r="D34" s="17" t="inlineStr">
        <is>
          <t>Enviado</t>
        </is>
      </c>
      <c r="E34" s="15" t="inlineStr">
        <is>
          <t>2025-12</t>
        </is>
      </c>
      <c r="F34" s="15" t="inlineStr">
        <is>
          <t>2025-12-11</t>
        </is>
      </c>
      <c r="G34" s="15" t="inlineStr">
        <is>
          <t>2025-12-11</t>
        </is>
      </c>
      <c r="H34" s="15" t="n">
        <v>5</v>
      </c>
      <c r="I34" s="15" t="n">
        <v>5</v>
      </c>
      <c r="J34" s="15" t="n">
        <v>0</v>
      </c>
      <c r="K34" s="15" t="n">
        <v>5</v>
      </c>
      <c r="L34" s="18" t="n">
        <v>0.08</v>
      </c>
      <c r="M34" s="19">
        <f>I34*Resumo!$C$6</f>
        <v/>
      </c>
      <c r="N34" s="19">
        <f>IF(I34&gt;0,Resumo!$C$7,0)</f>
        <v/>
      </c>
      <c r="O34" s="19">
        <f>M34+N34</f>
        <v/>
      </c>
      <c r="P34" s="15" t="n">
        <v>447</v>
      </c>
      <c r="Q34" s="19" t="n">
        <v>42260.01</v>
      </c>
      <c r="R34" s="19" t="n">
        <v>2506.42</v>
      </c>
      <c r="S34" s="19">
        <f>Q34*Resumo!$C$8</f>
        <v/>
      </c>
      <c r="T34" s="19">
        <f>S34-R34-O34</f>
        <v/>
      </c>
      <c r="U34" s="20">
        <f>IF(O34&gt;0,Q34/O34,0)</f>
        <v/>
      </c>
      <c r="V34" s="18">
        <f>IF(O34&gt;0,T34/O34,0)</f>
        <v/>
      </c>
    </row>
    <row r="35">
      <c r="A35" s="21" t="n">
        <v>34</v>
      </c>
      <c r="B35" s="22" t="inlineStr">
        <is>
          <t>Gabbi 🌟</t>
        </is>
      </c>
      <c r="C35" s="22" t="inlineStr">
        <is>
          <t>@gabbizie</t>
        </is>
      </c>
      <c r="D35" s="23" t="inlineStr">
        <is>
          <t>Enviado</t>
        </is>
      </c>
      <c r="E35" s="21" t="inlineStr">
        <is>
          <t>2025-12</t>
        </is>
      </c>
      <c r="F35" s="21" t="inlineStr">
        <is>
          <t>2025-12-11</t>
        </is>
      </c>
      <c r="G35" s="21" t="inlineStr">
        <is>
          <t>2025-12-15</t>
        </is>
      </c>
      <c r="H35" s="21" t="n">
        <v>5</v>
      </c>
      <c r="I35" s="21" t="n">
        <v>3</v>
      </c>
      <c r="J35" s="21" t="n">
        <v>2</v>
      </c>
      <c r="K35" s="21" t="n">
        <v>5</v>
      </c>
      <c r="L35" s="24" t="n">
        <v>0.12</v>
      </c>
      <c r="M35" s="25">
        <f>I35*Resumo!$C$6</f>
        <v/>
      </c>
      <c r="N35" s="25">
        <f>IF(I35&gt;0,Resumo!$C$7,0)</f>
        <v/>
      </c>
      <c r="O35" s="25">
        <f>M35+N35</f>
        <v/>
      </c>
      <c r="P35" s="21" t="n">
        <v>113</v>
      </c>
      <c r="Q35" s="25" t="n">
        <v>9401.17</v>
      </c>
      <c r="R35" s="25" t="n">
        <v>906.8099999999999</v>
      </c>
      <c r="S35" s="25">
        <f>Q35*Resumo!$C$8</f>
        <v/>
      </c>
      <c r="T35" s="25">
        <f>S35-R35-O35</f>
        <v/>
      </c>
      <c r="U35" s="26">
        <f>IF(O35&gt;0,Q35/O35,0)</f>
        <v/>
      </c>
      <c r="V35" s="24">
        <f>IF(O35&gt;0,T35/O35,0)</f>
        <v/>
      </c>
    </row>
    <row r="36">
      <c r="A36" s="27" t="n">
        <v>35</v>
      </c>
      <c r="B36" s="28" t="inlineStr">
        <is>
          <t>Jess Mesant</t>
        </is>
      </c>
      <c r="C36" s="28" t="inlineStr">
        <is>
          <t>@jessicamesant</t>
        </is>
      </c>
      <c r="D36" s="29" t="inlineStr">
        <is>
          <t>Nada enviado</t>
        </is>
      </c>
      <c r="E36" s="27" t="inlineStr">
        <is>
          <t>2025-12</t>
        </is>
      </c>
      <c r="F36" s="27" t="inlineStr">
        <is>
          <t>2025-12-11</t>
        </is>
      </c>
      <c r="G36" s="27" t="inlineStr">
        <is>
          <t>2025-12-11</t>
        </is>
      </c>
      <c r="H36" s="27" t="n">
        <v>6</v>
      </c>
      <c r="I36" s="27" t="n">
        <v>0</v>
      </c>
      <c r="J36" s="27" t="n">
        <v>6</v>
      </c>
      <c r="K36" s="27" t="n">
        <v>6</v>
      </c>
      <c r="L36" s="30" t="n">
        <v>0.12</v>
      </c>
      <c r="M36" s="31">
        <f>I36*Resumo!$C$6</f>
        <v/>
      </c>
      <c r="N36" s="31">
        <f>IF(I36&gt;0,Resumo!$C$7,0)</f>
        <v/>
      </c>
      <c r="O36" s="31">
        <f>M36+N36</f>
        <v/>
      </c>
      <c r="P36" s="27" t="n">
        <v>0</v>
      </c>
      <c r="Q36" s="31" t="n">
        <v>0</v>
      </c>
      <c r="R36" s="31" t="n">
        <v>0</v>
      </c>
      <c r="S36" s="31">
        <f>Q36*Resumo!$C$8</f>
        <v/>
      </c>
      <c r="T36" s="31">
        <f>S36-R36-O36</f>
        <v/>
      </c>
      <c r="U36" s="32">
        <f>IF(O36&gt;0,Q36/O36,0)</f>
        <v/>
      </c>
      <c r="V36" s="30">
        <f>IF(O36&gt;0,T36/O36,0)</f>
        <v/>
      </c>
    </row>
    <row r="37">
      <c r="A37" s="21" t="n">
        <v>36</v>
      </c>
      <c r="B37" s="22" t="inlineStr">
        <is>
          <t>família pimentel</t>
        </is>
      </c>
      <c r="C37" s="22" t="inlineStr">
        <is>
          <t>@.familiapimentel</t>
        </is>
      </c>
      <c r="D37" s="23" t="inlineStr">
        <is>
          <t>Enviado</t>
        </is>
      </c>
      <c r="E37" s="21" t="inlineStr">
        <is>
          <t>2025-12</t>
        </is>
      </c>
      <c r="F37" s="21" t="inlineStr">
        <is>
          <t>2025-12-12</t>
        </is>
      </c>
      <c r="G37" s="21" t="inlineStr">
        <is>
          <t>2025-12-12</t>
        </is>
      </c>
      <c r="H37" s="21" t="n">
        <v>5</v>
      </c>
      <c r="I37" s="21" t="n">
        <v>5</v>
      </c>
      <c r="J37" s="21" t="n">
        <v>0</v>
      </c>
      <c r="K37" s="21" t="n">
        <v>5</v>
      </c>
      <c r="L37" s="24" t="n">
        <v>0.08</v>
      </c>
      <c r="M37" s="25">
        <f>I37*Resumo!$C$6</f>
        <v/>
      </c>
      <c r="N37" s="25">
        <f>IF(I37&gt;0,Resumo!$C$7,0)</f>
        <v/>
      </c>
      <c r="O37" s="25">
        <f>M37+N37</f>
        <v/>
      </c>
      <c r="P37" s="21" t="n">
        <v>299</v>
      </c>
      <c r="Q37" s="25" t="n">
        <v>26440.7</v>
      </c>
      <c r="R37" s="25" t="n">
        <v>622.89</v>
      </c>
      <c r="S37" s="25">
        <f>Q37*Resumo!$C$8</f>
        <v/>
      </c>
      <c r="T37" s="25">
        <f>S37-R37-O37</f>
        <v/>
      </c>
      <c r="U37" s="26">
        <f>IF(O37&gt;0,Q37/O37,0)</f>
        <v/>
      </c>
      <c r="V37" s="24">
        <f>IF(O37&gt;0,T37/O37,0)</f>
        <v/>
      </c>
    </row>
    <row r="38">
      <c r="A38" s="27" t="n">
        <v>37</v>
      </c>
      <c r="B38" s="28" t="inlineStr">
        <is>
          <t>numarchi</t>
        </is>
      </c>
      <c r="C38" s="28" t="inlineStr">
        <is>
          <t>@numarchi</t>
        </is>
      </c>
      <c r="D38" s="29" t="inlineStr">
        <is>
          <t>Nada enviado</t>
        </is>
      </c>
      <c r="E38" s="27" t="inlineStr">
        <is>
          <t>2025-12</t>
        </is>
      </c>
      <c r="F38" s="27" t="inlineStr">
        <is>
          <t>2025-12-15</t>
        </is>
      </c>
      <c r="G38" s="27" t="inlineStr">
        <is>
          <t>2025-12-16</t>
        </is>
      </c>
      <c r="H38" s="27" t="n">
        <v>3</v>
      </c>
      <c r="I38" s="27" t="n">
        <v>0</v>
      </c>
      <c r="J38" s="27" t="n">
        <v>3</v>
      </c>
      <c r="K38" s="27" t="n">
        <v>3</v>
      </c>
      <c r="L38" s="30" t="n">
        <v>0.12</v>
      </c>
      <c r="M38" s="31">
        <f>I38*Resumo!$C$6</f>
        <v/>
      </c>
      <c r="N38" s="31">
        <f>IF(I38&gt;0,Resumo!$C$7,0)</f>
        <v/>
      </c>
      <c r="O38" s="31">
        <f>M38+N38</f>
        <v/>
      </c>
      <c r="P38" s="27" t="n">
        <v>480</v>
      </c>
      <c r="Q38" s="31" t="n">
        <v>38896.88</v>
      </c>
      <c r="R38" s="31" t="n">
        <v>2898.6</v>
      </c>
      <c r="S38" s="31">
        <f>Q38*Resumo!$C$8</f>
        <v/>
      </c>
      <c r="T38" s="31">
        <f>S38-R38-O38</f>
        <v/>
      </c>
      <c r="U38" s="32">
        <f>IF(O38&gt;0,Q38/O38,0)</f>
        <v/>
      </c>
      <c r="V38" s="30">
        <f>IF(O38&gt;0,T38/O38,0)</f>
        <v/>
      </c>
    </row>
    <row r="39">
      <c r="A39" s="21" t="n">
        <v>38</v>
      </c>
      <c r="B39" s="22" t="inlineStr">
        <is>
          <t>Thami Brambilla</t>
        </is>
      </c>
      <c r="C39" s="22" t="inlineStr">
        <is>
          <t>@thami.brambilla</t>
        </is>
      </c>
      <c r="D39" s="23" t="inlineStr">
        <is>
          <t>Enviado</t>
        </is>
      </c>
      <c r="E39" s="21" t="inlineStr">
        <is>
          <t>2025-12</t>
        </is>
      </c>
      <c r="F39" s="21" t="inlineStr">
        <is>
          <t>2025-12-16</t>
        </is>
      </c>
      <c r="G39" s="21" t="inlineStr">
        <is>
          <t>2025-12-16</t>
        </is>
      </c>
      <c r="H39" s="21" t="n">
        <v>3</v>
      </c>
      <c r="I39" s="21" t="n">
        <v>3</v>
      </c>
      <c r="J39" s="21" t="n">
        <v>0</v>
      </c>
      <c r="K39" s="21" t="n">
        <v>3</v>
      </c>
      <c r="L39" s="24" t="n">
        <v>0.12</v>
      </c>
      <c r="M39" s="25">
        <f>I39*Resumo!$C$6</f>
        <v/>
      </c>
      <c r="N39" s="25">
        <f>IF(I39&gt;0,Resumo!$C$7,0)</f>
        <v/>
      </c>
      <c r="O39" s="25">
        <f>M39+N39</f>
        <v/>
      </c>
      <c r="P39" s="21" t="n">
        <v>0</v>
      </c>
      <c r="Q39" s="25" t="n">
        <v>0</v>
      </c>
      <c r="R39" s="25" t="n">
        <v>0</v>
      </c>
      <c r="S39" s="25">
        <f>Q39*Resumo!$C$8</f>
        <v/>
      </c>
      <c r="T39" s="25">
        <f>S39-R39-O39</f>
        <v/>
      </c>
      <c r="U39" s="26">
        <f>IF(O39&gt;0,Q39/O39,0)</f>
        <v/>
      </c>
      <c r="V39" s="24">
        <f>IF(O39&gt;0,T39/O39,0)</f>
        <v/>
      </c>
    </row>
    <row r="40">
      <c r="A40" s="15" t="n">
        <v>39</v>
      </c>
      <c r="B40" s="16" t="inlineStr">
        <is>
          <t>Yasmin Oliveira</t>
        </is>
      </c>
      <c r="C40" s="16" t="inlineStr">
        <is>
          <t>@yasmin.aoliveira</t>
        </is>
      </c>
      <c r="D40" s="17" t="inlineStr">
        <is>
          <t>Enviado</t>
        </is>
      </c>
      <c r="E40" s="15" t="inlineStr">
        <is>
          <t>2025-12</t>
        </is>
      </c>
      <c r="F40" s="15" t="inlineStr">
        <is>
          <t>2025-12-18</t>
        </is>
      </c>
      <c r="G40" s="15" t="inlineStr">
        <is>
          <t>2025-12-18</t>
        </is>
      </c>
      <c r="H40" s="15" t="n">
        <v>3</v>
      </c>
      <c r="I40" s="15" t="n">
        <v>3</v>
      </c>
      <c r="J40" s="15" t="n">
        <v>0</v>
      </c>
      <c r="K40" s="15" t="n">
        <v>3</v>
      </c>
      <c r="L40" s="18" t="n">
        <v>0.08</v>
      </c>
      <c r="M40" s="19">
        <f>I40*Resumo!$C$6</f>
        <v/>
      </c>
      <c r="N40" s="19">
        <f>IF(I40&gt;0,Resumo!$C$7,0)</f>
        <v/>
      </c>
      <c r="O40" s="19">
        <f>M40+N40</f>
        <v/>
      </c>
      <c r="P40" s="15" t="n">
        <v>0</v>
      </c>
      <c r="Q40" s="19" t="n">
        <v>0</v>
      </c>
      <c r="R40" s="19" t="n">
        <v>0</v>
      </c>
      <c r="S40" s="19">
        <f>Q40*Resumo!$C$8</f>
        <v/>
      </c>
      <c r="T40" s="19">
        <f>S40-R40-O40</f>
        <v/>
      </c>
      <c r="U40" s="20">
        <f>IF(O40&gt;0,Q40/O40,0)</f>
        <v/>
      </c>
      <c r="V40" s="18">
        <f>IF(O40&gt;0,T40/O40,0)</f>
        <v/>
      </c>
    </row>
    <row r="41">
      <c r="A41" s="21" t="n">
        <v>40</v>
      </c>
      <c r="B41" s="22" t="inlineStr">
        <is>
          <t>Brunna Alves</t>
        </is>
      </c>
      <c r="C41" s="22" t="inlineStr">
        <is>
          <t>@bbrualvess</t>
        </is>
      </c>
      <c r="D41" s="23" t="inlineStr">
        <is>
          <t>Enviado</t>
        </is>
      </c>
      <c r="E41" s="21" t="inlineStr">
        <is>
          <t>2025-12</t>
        </is>
      </c>
      <c r="F41" s="21" t="inlineStr">
        <is>
          <t>2025-12-29</t>
        </is>
      </c>
      <c r="G41" s="21" t="inlineStr">
        <is>
          <t>2025-12-29</t>
        </is>
      </c>
      <c r="H41" s="21" t="n">
        <v>1</v>
      </c>
      <c r="I41" s="21" t="n">
        <v>1</v>
      </c>
      <c r="J41" s="21" t="n">
        <v>0</v>
      </c>
      <c r="K41" s="21" t="n">
        <v>1</v>
      </c>
      <c r="L41" s="24" t="n">
        <v>0.08</v>
      </c>
      <c r="M41" s="25">
        <f>I41*Resumo!$C$6</f>
        <v/>
      </c>
      <c r="N41" s="25">
        <f>IF(I41&gt;0,Resumo!$C$7,0)</f>
        <v/>
      </c>
      <c r="O41" s="25">
        <f>M41+N41</f>
        <v/>
      </c>
      <c r="P41" s="21" t="n">
        <v>8</v>
      </c>
      <c r="Q41" s="25" t="n">
        <v>639.2</v>
      </c>
      <c r="R41" s="25" t="n">
        <v>63.92</v>
      </c>
      <c r="S41" s="25">
        <f>Q41*Resumo!$C$8</f>
        <v/>
      </c>
      <c r="T41" s="25">
        <f>S41-R41-O41</f>
        <v/>
      </c>
      <c r="U41" s="26">
        <f>IF(O41&gt;0,Q41/O41,0)</f>
        <v/>
      </c>
      <c r="V41" s="24">
        <f>IF(O41&gt;0,T41/O41,0)</f>
        <v/>
      </c>
    </row>
    <row r="42">
      <c r="A42" s="15" t="n">
        <v>41</v>
      </c>
      <c r="B42" s="16" t="inlineStr">
        <is>
          <t>Ana Carla | Shop Creator</t>
        </is>
      </c>
      <c r="C42" s="16" t="inlineStr">
        <is>
          <t>@euanacarlasan</t>
        </is>
      </c>
      <c r="D42" s="17" t="inlineStr">
        <is>
          <t>Enviado</t>
        </is>
      </c>
      <c r="E42" s="15" t="inlineStr">
        <is>
          <t>2025-12</t>
        </is>
      </c>
      <c r="F42" s="15" t="inlineStr">
        <is>
          <t>2025-12-29</t>
        </is>
      </c>
      <c r="G42" s="15" t="inlineStr">
        <is>
          <t>2025-12-29</t>
        </is>
      </c>
      <c r="H42" s="15" t="n">
        <v>1</v>
      </c>
      <c r="I42" s="15" t="n">
        <v>1</v>
      </c>
      <c r="J42" s="15" t="n">
        <v>0</v>
      </c>
      <c r="K42" s="15" t="n">
        <v>1</v>
      </c>
      <c r="L42" s="18" t="n">
        <v>0.08</v>
      </c>
      <c r="M42" s="19">
        <f>I42*Resumo!$C$6</f>
        <v/>
      </c>
      <c r="N42" s="19">
        <f>IF(I42&gt;0,Resumo!$C$7,0)</f>
        <v/>
      </c>
      <c r="O42" s="19">
        <f>M42+N42</f>
        <v/>
      </c>
      <c r="P42" s="15" t="n">
        <v>0</v>
      </c>
      <c r="Q42" s="19" t="n">
        <v>0</v>
      </c>
      <c r="R42" s="19" t="n">
        <v>0</v>
      </c>
      <c r="S42" s="19">
        <f>Q42*Resumo!$C$8</f>
        <v/>
      </c>
      <c r="T42" s="19">
        <f>S42-R42-O42</f>
        <v/>
      </c>
      <c r="U42" s="20">
        <f>IF(O42&gt;0,Q42/O42,0)</f>
        <v/>
      </c>
      <c r="V42" s="18">
        <f>IF(O42&gt;0,T42/O42,0)</f>
        <v/>
      </c>
    </row>
    <row r="43">
      <c r="A43" s="21" t="n">
        <v>42</v>
      </c>
      <c r="B43" s="22" t="inlineStr">
        <is>
          <t>Nara Maria</t>
        </is>
      </c>
      <c r="C43" s="22" t="inlineStr">
        <is>
          <t>@narashoptkk</t>
        </is>
      </c>
      <c r="D43" s="23" t="inlineStr">
        <is>
          <t>Enviado</t>
        </is>
      </c>
      <c r="E43" s="21" t="inlineStr">
        <is>
          <t>2025-12</t>
        </is>
      </c>
      <c r="F43" s="21" t="inlineStr">
        <is>
          <t>2025-12-30</t>
        </is>
      </c>
      <c r="G43" s="21" t="inlineStr">
        <is>
          <t>2025-12-30</t>
        </is>
      </c>
      <c r="H43" s="21" t="n">
        <v>1</v>
      </c>
      <c r="I43" s="21" t="n">
        <v>1</v>
      </c>
      <c r="J43" s="21" t="n">
        <v>0</v>
      </c>
      <c r="K43" s="21" t="n">
        <v>1</v>
      </c>
      <c r="L43" s="24" t="n">
        <v>0.08</v>
      </c>
      <c r="M43" s="25">
        <f>I43*Resumo!$C$6</f>
        <v/>
      </c>
      <c r="N43" s="25">
        <f>IF(I43&gt;0,Resumo!$C$7,0)</f>
        <v/>
      </c>
      <c r="O43" s="25">
        <f>M43+N43</f>
        <v/>
      </c>
      <c r="P43" s="21" t="n">
        <v>3</v>
      </c>
      <c r="Q43" s="25" t="n">
        <v>304.18</v>
      </c>
      <c r="R43" s="25" t="n">
        <v>30.42</v>
      </c>
      <c r="S43" s="25">
        <f>Q43*Resumo!$C$8</f>
        <v/>
      </c>
      <c r="T43" s="25">
        <f>S43-R43-O43</f>
        <v/>
      </c>
      <c r="U43" s="26">
        <f>IF(O43&gt;0,Q43/O43,0)</f>
        <v/>
      </c>
      <c r="V43" s="24">
        <f>IF(O43&gt;0,T43/O43,0)</f>
        <v/>
      </c>
    </row>
    <row r="44">
      <c r="A44" s="15" t="n">
        <v>43</v>
      </c>
      <c r="B44" s="16" t="inlineStr">
        <is>
          <t>Michelle Rocha - Na</t>
        </is>
      </c>
      <c r="C44" s="16" t="inlineStr">
        <is>
          <t>@michellerocha.n</t>
        </is>
      </c>
      <c r="D44" s="17" t="inlineStr">
        <is>
          <t>Enviado</t>
        </is>
      </c>
      <c r="E44" s="15" t="inlineStr">
        <is>
          <t>2025-12</t>
        </is>
      </c>
      <c r="F44" s="15" t="inlineStr">
        <is>
          <t>2025-12-30</t>
        </is>
      </c>
      <c r="G44" s="15" t="inlineStr">
        <is>
          <t>2025-12-30</t>
        </is>
      </c>
      <c r="H44" s="15" t="n">
        <v>1</v>
      </c>
      <c r="I44" s="15" t="n">
        <v>1</v>
      </c>
      <c r="J44" s="15" t="n">
        <v>0</v>
      </c>
      <c r="K44" s="15" t="n">
        <v>1</v>
      </c>
      <c r="L44" s="18" t="n">
        <v>0.08</v>
      </c>
      <c r="M44" s="19">
        <f>I44*Resumo!$C$6</f>
        <v/>
      </c>
      <c r="N44" s="19">
        <f>IF(I44&gt;0,Resumo!$C$7,0)</f>
        <v/>
      </c>
      <c r="O44" s="19">
        <f>M44+N44</f>
        <v/>
      </c>
      <c r="P44" s="15" t="n">
        <v>3</v>
      </c>
      <c r="Q44" s="19" t="n">
        <v>239.7</v>
      </c>
      <c r="R44" s="19" t="n">
        <v>23.97</v>
      </c>
      <c r="S44" s="19">
        <f>Q44*Resumo!$C$8</f>
        <v/>
      </c>
      <c r="T44" s="19">
        <f>S44-R44-O44</f>
        <v/>
      </c>
      <c r="U44" s="20">
        <f>IF(O44&gt;0,Q44/O44,0)</f>
        <v/>
      </c>
      <c r="V44" s="18">
        <f>IF(O44&gt;0,T44/O44,0)</f>
        <v/>
      </c>
    </row>
    <row r="45">
      <c r="A45" s="21" t="n">
        <v>44</v>
      </c>
      <c r="B45" s="22" t="inlineStr">
        <is>
          <t>Shop com a Jé</t>
        </is>
      </c>
      <c r="C45" s="22" t="inlineStr">
        <is>
          <t>@jessicab.tiktokshop</t>
        </is>
      </c>
      <c r="D45" s="23" t="inlineStr">
        <is>
          <t>Enviado</t>
        </is>
      </c>
      <c r="E45" s="21" t="inlineStr">
        <is>
          <t>2025-12</t>
        </is>
      </c>
      <c r="F45" s="21" t="inlineStr">
        <is>
          <t>2025-12-30</t>
        </is>
      </c>
      <c r="G45" s="21" t="inlineStr">
        <is>
          <t>2025-12-30</t>
        </is>
      </c>
      <c r="H45" s="21" t="n">
        <v>1</v>
      </c>
      <c r="I45" s="21" t="n">
        <v>1</v>
      </c>
      <c r="J45" s="21" t="n">
        <v>0</v>
      </c>
      <c r="K45" s="21" t="n">
        <v>1</v>
      </c>
      <c r="L45" s="24" t="n">
        <v>0.08</v>
      </c>
      <c r="M45" s="25">
        <f>I45*Resumo!$C$6</f>
        <v/>
      </c>
      <c r="N45" s="25">
        <f>IF(I45&gt;0,Resumo!$C$7,0)</f>
        <v/>
      </c>
      <c r="O45" s="25">
        <f>M45+N45</f>
        <v/>
      </c>
      <c r="P45" s="21" t="n">
        <v>2</v>
      </c>
      <c r="Q45" s="25" t="n">
        <v>159.8</v>
      </c>
      <c r="R45" s="25" t="n">
        <v>15.98</v>
      </c>
      <c r="S45" s="25">
        <f>Q45*Resumo!$C$8</f>
        <v/>
      </c>
      <c r="T45" s="25">
        <f>S45-R45-O45</f>
        <v/>
      </c>
      <c r="U45" s="26">
        <f>IF(O45&gt;0,Q45/O45,0)</f>
        <v/>
      </c>
      <c r="V45" s="24">
        <f>IF(O45&gt;0,T45/O45,0)</f>
        <v/>
      </c>
    </row>
    <row r="46">
      <c r="A46" s="15" t="n">
        <v>45</v>
      </c>
      <c r="B46" s="16" t="inlineStr">
        <is>
          <t>Ana Eliza Goulart</t>
        </is>
      </c>
      <c r="C46" s="16" t="inlineStr">
        <is>
          <t>@aelizagoulart</t>
        </is>
      </c>
      <c r="D46" s="17" t="inlineStr">
        <is>
          <t>Enviado</t>
        </is>
      </c>
      <c r="E46" s="15" t="inlineStr">
        <is>
          <t>2025-12</t>
        </is>
      </c>
      <c r="F46" s="15" t="inlineStr">
        <is>
          <t>2025-12-30</t>
        </is>
      </c>
      <c r="G46" s="15" t="inlineStr">
        <is>
          <t>2025-12-30</t>
        </is>
      </c>
      <c r="H46" s="15" t="n">
        <v>1</v>
      </c>
      <c r="I46" s="15" t="n">
        <v>1</v>
      </c>
      <c r="J46" s="15" t="n">
        <v>0</v>
      </c>
      <c r="K46" s="15" t="n">
        <v>1</v>
      </c>
      <c r="L46" s="18" t="n">
        <v>0.08</v>
      </c>
      <c r="M46" s="19">
        <f>I46*Resumo!$C$6</f>
        <v/>
      </c>
      <c r="N46" s="19">
        <f>IF(I46&gt;0,Resumo!$C$7,0)</f>
        <v/>
      </c>
      <c r="O46" s="19">
        <f>M46+N46</f>
        <v/>
      </c>
      <c r="P46" s="15" t="n">
        <v>1</v>
      </c>
      <c r="Q46" s="19" t="n">
        <v>79.90000000000001</v>
      </c>
      <c r="R46" s="19" t="n">
        <v>7.99</v>
      </c>
      <c r="S46" s="19">
        <f>Q46*Resumo!$C$8</f>
        <v/>
      </c>
      <c r="T46" s="19">
        <f>S46-R46-O46</f>
        <v/>
      </c>
      <c r="U46" s="20">
        <f>IF(O46&gt;0,Q46/O46,0)</f>
        <v/>
      </c>
      <c r="V46" s="18">
        <f>IF(O46&gt;0,T46/O46,0)</f>
        <v/>
      </c>
    </row>
    <row r="47">
      <c r="A47" s="21" t="n">
        <v>46</v>
      </c>
      <c r="B47" s="22" t="inlineStr">
        <is>
          <t>Maria Fernanda</t>
        </is>
      </c>
      <c r="C47" s="22" t="inlineStr">
        <is>
          <t>@ogarimpodamaria</t>
        </is>
      </c>
      <c r="D47" s="23" t="inlineStr">
        <is>
          <t>Enviado</t>
        </is>
      </c>
      <c r="E47" s="21" t="inlineStr">
        <is>
          <t>2025-12</t>
        </is>
      </c>
      <c r="F47" s="21" t="inlineStr">
        <is>
          <t>2025-12-30</t>
        </is>
      </c>
      <c r="G47" s="21" t="inlineStr">
        <is>
          <t>2025-12-30</t>
        </is>
      </c>
      <c r="H47" s="21" t="n">
        <v>1</v>
      </c>
      <c r="I47" s="21" t="n">
        <v>1</v>
      </c>
      <c r="J47" s="21" t="n">
        <v>0</v>
      </c>
      <c r="K47" s="21" t="n">
        <v>1</v>
      </c>
      <c r="L47" s="24" t="n">
        <v>0.08</v>
      </c>
      <c r="M47" s="25">
        <f>I47*Resumo!$C$6</f>
        <v/>
      </c>
      <c r="N47" s="25">
        <f>IF(I47&gt;0,Resumo!$C$7,0)</f>
        <v/>
      </c>
      <c r="O47" s="25">
        <f>M47+N47</f>
        <v/>
      </c>
      <c r="P47" s="21" t="n">
        <v>1</v>
      </c>
      <c r="Q47" s="25" t="n">
        <v>79.90000000000001</v>
      </c>
      <c r="R47" s="25" t="n">
        <v>7.99</v>
      </c>
      <c r="S47" s="25">
        <f>Q47*Resumo!$C$8</f>
        <v/>
      </c>
      <c r="T47" s="25">
        <f>S47-R47-O47</f>
        <v/>
      </c>
      <c r="U47" s="26">
        <f>IF(O47&gt;0,Q47/O47,0)</f>
        <v/>
      </c>
      <c r="V47" s="24">
        <f>IF(O47&gt;0,T47/O47,0)</f>
        <v/>
      </c>
    </row>
    <row r="48">
      <c r="A48" s="15" t="n">
        <v>47</v>
      </c>
      <c r="B48" s="16" t="inlineStr">
        <is>
          <t>CAROL XAVIER  🛍️⚜️</t>
        </is>
      </c>
      <c r="C48" s="16" t="inlineStr">
        <is>
          <t>@carolinexavierp</t>
        </is>
      </c>
      <c r="D48" s="17" t="inlineStr">
        <is>
          <t>Enviado</t>
        </is>
      </c>
      <c r="E48" s="15" t="inlineStr">
        <is>
          <t>2025-12</t>
        </is>
      </c>
      <c r="F48" s="15" t="inlineStr">
        <is>
          <t>2025-12-30</t>
        </is>
      </c>
      <c r="G48" s="15" t="inlineStr">
        <is>
          <t>2025-12-30</t>
        </is>
      </c>
      <c r="H48" s="15" t="n">
        <v>1</v>
      </c>
      <c r="I48" s="15" t="n">
        <v>1</v>
      </c>
      <c r="J48" s="15" t="n">
        <v>0</v>
      </c>
      <c r="K48" s="15" t="n">
        <v>1</v>
      </c>
      <c r="L48" s="18" t="n">
        <v>0.08</v>
      </c>
      <c r="M48" s="19">
        <f>I48*Resumo!$C$6</f>
        <v/>
      </c>
      <c r="N48" s="19">
        <f>IF(I48&gt;0,Resumo!$C$7,0)</f>
        <v/>
      </c>
      <c r="O48" s="19">
        <f>M48+N48</f>
        <v/>
      </c>
      <c r="P48" s="15" t="n">
        <v>0</v>
      </c>
      <c r="Q48" s="19" t="n">
        <v>0</v>
      </c>
      <c r="R48" s="19" t="n">
        <v>0</v>
      </c>
      <c r="S48" s="19">
        <f>Q48*Resumo!$C$8</f>
        <v/>
      </c>
      <c r="T48" s="19">
        <f>S48-R48-O48</f>
        <v/>
      </c>
      <c r="U48" s="20">
        <f>IF(O48&gt;0,Q48/O48,0)</f>
        <v/>
      </c>
      <c r="V48" s="18">
        <f>IF(O48&gt;0,T48/O48,0)</f>
        <v/>
      </c>
    </row>
    <row r="49">
      <c r="A49" s="21" t="n">
        <v>48</v>
      </c>
      <c r="B49" s="22" t="inlineStr">
        <is>
          <t>Francine Foss</t>
        </is>
      </c>
      <c r="C49" s="22" t="inlineStr">
        <is>
          <t>@francinefosss</t>
        </is>
      </c>
      <c r="D49" s="23" t="inlineStr">
        <is>
          <t>Enviado</t>
        </is>
      </c>
      <c r="E49" s="21" t="inlineStr">
        <is>
          <t>2025-12</t>
        </is>
      </c>
      <c r="F49" s="21" t="inlineStr">
        <is>
          <t>2025-12-30</t>
        </is>
      </c>
      <c r="G49" s="21" t="inlineStr">
        <is>
          <t>2025-12-30</t>
        </is>
      </c>
      <c r="H49" s="21" t="n">
        <v>1</v>
      </c>
      <c r="I49" s="21" t="n">
        <v>1</v>
      </c>
      <c r="J49" s="21" t="n">
        <v>0</v>
      </c>
      <c r="K49" s="21" t="n">
        <v>1</v>
      </c>
      <c r="L49" s="24" t="n">
        <v>0.08</v>
      </c>
      <c r="M49" s="25">
        <f>I49*Resumo!$C$6</f>
        <v/>
      </c>
      <c r="N49" s="25">
        <f>IF(I49&gt;0,Resumo!$C$7,0)</f>
        <v/>
      </c>
      <c r="O49" s="25">
        <f>M49+N49</f>
        <v/>
      </c>
      <c r="P49" s="21" t="n">
        <v>0</v>
      </c>
      <c r="Q49" s="25" t="n">
        <v>0</v>
      </c>
      <c r="R49" s="25" t="n">
        <v>0</v>
      </c>
      <c r="S49" s="25">
        <f>Q49*Resumo!$C$8</f>
        <v/>
      </c>
      <c r="T49" s="25">
        <f>S49-R49-O49</f>
        <v/>
      </c>
      <c r="U49" s="26">
        <f>IF(O49&gt;0,Q49/O49,0)</f>
        <v/>
      </c>
      <c r="V49" s="24">
        <f>IF(O49&gt;0,T49/O49,0)</f>
        <v/>
      </c>
    </row>
    <row r="50">
      <c r="A50" s="15" t="n">
        <v>49</v>
      </c>
      <c r="B50" s="16" t="inlineStr">
        <is>
          <t>Talissa Loreto</t>
        </is>
      </c>
      <c r="C50" s="16" t="inlineStr">
        <is>
          <t>@talissaaloreto</t>
        </is>
      </c>
      <c r="D50" s="17" t="inlineStr">
        <is>
          <t>Enviado</t>
        </is>
      </c>
      <c r="E50" s="15" t="inlineStr">
        <is>
          <t>2026-01</t>
        </is>
      </c>
      <c r="F50" s="15" t="inlineStr">
        <is>
          <t>2026-01-05</t>
        </is>
      </c>
      <c r="G50" s="15" t="inlineStr">
        <is>
          <t>2026-01-20</t>
        </is>
      </c>
      <c r="H50" s="15" t="n">
        <v>6</v>
      </c>
      <c r="I50" s="15" t="n">
        <v>6</v>
      </c>
      <c r="J50" s="15" t="n">
        <v>0</v>
      </c>
      <c r="K50" s="15" t="n">
        <v>6</v>
      </c>
      <c r="L50" s="18" t="n">
        <v>0.08</v>
      </c>
      <c r="M50" s="19">
        <f>I50*Resumo!$C$6</f>
        <v/>
      </c>
      <c r="N50" s="19">
        <f>IF(I50&gt;0,Resumo!$C$7,0)</f>
        <v/>
      </c>
      <c r="O50" s="19">
        <f>M50+N50</f>
        <v/>
      </c>
      <c r="P50" s="15" t="n">
        <v>4</v>
      </c>
      <c r="Q50" s="19" t="n">
        <v>364.69</v>
      </c>
      <c r="R50" s="19" t="n">
        <v>32.47</v>
      </c>
      <c r="S50" s="19">
        <f>Q50*Resumo!$C$8</f>
        <v/>
      </c>
      <c r="T50" s="19">
        <f>S50-R50-O50</f>
        <v/>
      </c>
      <c r="U50" s="20">
        <f>IF(O50&gt;0,Q50/O50,0)</f>
        <v/>
      </c>
      <c r="V50" s="18">
        <f>IF(O50&gt;0,T50/O50,0)</f>
        <v/>
      </c>
    </row>
    <row r="51">
      <c r="A51" s="21" t="n">
        <v>50</v>
      </c>
      <c r="B51" s="22" t="inlineStr">
        <is>
          <t>Gii Sartori</t>
        </is>
      </c>
      <c r="C51" s="22" t="inlineStr">
        <is>
          <t>@giihsartori</t>
        </is>
      </c>
      <c r="D51" s="23" t="inlineStr">
        <is>
          <t>Enviado</t>
        </is>
      </c>
      <c r="E51" s="21" t="inlineStr">
        <is>
          <t>2026-01</t>
        </is>
      </c>
      <c r="F51" s="21" t="inlineStr">
        <is>
          <t>2026-01-05</t>
        </is>
      </c>
      <c r="G51" s="21" t="inlineStr">
        <is>
          <t>2026-01-05</t>
        </is>
      </c>
      <c r="H51" s="21" t="n">
        <v>1</v>
      </c>
      <c r="I51" s="21" t="n">
        <v>1</v>
      </c>
      <c r="J51" s="21" t="n">
        <v>0</v>
      </c>
      <c r="K51" s="21" t="n">
        <v>1</v>
      </c>
      <c r="L51" s="24" t="n">
        <v>0.08</v>
      </c>
      <c r="M51" s="25">
        <f>I51*Resumo!$C$6</f>
        <v/>
      </c>
      <c r="N51" s="25">
        <f>IF(I51&gt;0,Resumo!$C$7,0)</f>
        <v/>
      </c>
      <c r="O51" s="25">
        <f>M51+N51</f>
        <v/>
      </c>
      <c r="P51" s="21" t="n">
        <v>0</v>
      </c>
      <c r="Q51" s="25" t="n">
        <v>0</v>
      </c>
      <c r="R51" s="25" t="n">
        <v>0</v>
      </c>
      <c r="S51" s="25">
        <f>Q51*Resumo!$C$8</f>
        <v/>
      </c>
      <c r="T51" s="25">
        <f>S51-R51-O51</f>
        <v/>
      </c>
      <c r="U51" s="26">
        <f>IF(O51&gt;0,Q51/O51,0)</f>
        <v/>
      </c>
      <c r="V51" s="24">
        <f>IF(O51&gt;0,T51/O51,0)</f>
        <v/>
      </c>
    </row>
    <row r="52">
      <c r="A52" s="15" t="n">
        <v>51</v>
      </c>
      <c r="B52" s="16" t="inlineStr">
        <is>
          <t>A Bruna Indica 🛍️</t>
        </is>
      </c>
      <c r="C52" s="16" t="inlineStr">
        <is>
          <t>@abrunaindicaa</t>
        </is>
      </c>
      <c r="D52" s="17" t="inlineStr">
        <is>
          <t>Enviado</t>
        </is>
      </c>
      <c r="E52" s="15" t="inlineStr">
        <is>
          <t>2026-01</t>
        </is>
      </c>
      <c r="F52" s="15" t="inlineStr">
        <is>
          <t>2026-01-09</t>
        </is>
      </c>
      <c r="G52" s="15" t="inlineStr">
        <is>
          <t>2026-01-09</t>
        </is>
      </c>
      <c r="H52" s="15" t="n">
        <v>1</v>
      </c>
      <c r="I52" s="15" t="n">
        <v>1</v>
      </c>
      <c r="J52" s="15" t="n">
        <v>0</v>
      </c>
      <c r="K52" s="15" t="n">
        <v>1</v>
      </c>
      <c r="L52" s="18" t="n">
        <v>0.08</v>
      </c>
      <c r="M52" s="19">
        <f>I52*Resumo!$C$6</f>
        <v/>
      </c>
      <c r="N52" s="19">
        <f>IF(I52&gt;0,Resumo!$C$7,0)</f>
        <v/>
      </c>
      <c r="O52" s="19">
        <f>M52+N52</f>
        <v/>
      </c>
      <c r="P52" s="15" t="n">
        <v>5</v>
      </c>
      <c r="Q52" s="19" t="n">
        <v>384.08</v>
      </c>
      <c r="R52" s="19" t="n">
        <v>30.42</v>
      </c>
      <c r="S52" s="19">
        <f>Q52*Resumo!$C$8</f>
        <v/>
      </c>
      <c r="T52" s="19">
        <f>S52-R52-O52</f>
        <v/>
      </c>
      <c r="U52" s="20">
        <f>IF(O52&gt;0,Q52/O52,0)</f>
        <v/>
      </c>
      <c r="V52" s="18">
        <f>IF(O52&gt;0,T52/O52,0)</f>
        <v/>
      </c>
    </row>
    <row r="53">
      <c r="A53" s="21" t="n">
        <v>52</v>
      </c>
      <c r="B53" s="22" t="inlineStr">
        <is>
          <t>Debi Marques</t>
        </is>
      </c>
      <c r="C53" s="22" t="inlineStr">
        <is>
          <t>@luddeby</t>
        </is>
      </c>
      <c r="D53" s="23" t="inlineStr">
        <is>
          <t>Enviado</t>
        </is>
      </c>
      <c r="E53" s="21" t="inlineStr">
        <is>
          <t>2026-01</t>
        </is>
      </c>
      <c r="F53" s="21" t="inlineStr">
        <is>
          <t>2026-01-09</t>
        </is>
      </c>
      <c r="G53" s="21" t="inlineStr">
        <is>
          <t>2026-01-09</t>
        </is>
      </c>
      <c r="H53" s="21" t="n">
        <v>1</v>
      </c>
      <c r="I53" s="21" t="n">
        <v>1</v>
      </c>
      <c r="J53" s="21" t="n">
        <v>0</v>
      </c>
      <c r="K53" s="21" t="n">
        <v>1</v>
      </c>
      <c r="L53" s="24" t="n">
        <v>0.08</v>
      </c>
      <c r="M53" s="25">
        <f>I53*Resumo!$C$6</f>
        <v/>
      </c>
      <c r="N53" s="25">
        <f>IF(I53&gt;0,Resumo!$C$7,0)</f>
        <v/>
      </c>
      <c r="O53" s="25">
        <f>M53+N53</f>
        <v/>
      </c>
      <c r="P53" s="21" t="n">
        <v>0</v>
      </c>
      <c r="Q53" s="25" t="n">
        <v>0</v>
      </c>
      <c r="R53" s="25" t="n">
        <v>0</v>
      </c>
      <c r="S53" s="25">
        <f>Q53*Resumo!$C$8</f>
        <v/>
      </c>
      <c r="T53" s="25">
        <f>S53-R53-O53</f>
        <v/>
      </c>
      <c r="U53" s="26">
        <f>IF(O53&gt;0,Q53/O53,0)</f>
        <v/>
      </c>
      <c r="V53" s="24">
        <f>IF(O53&gt;0,T53/O53,0)</f>
        <v/>
      </c>
    </row>
    <row r="54">
      <c r="A54" s="15" t="n">
        <v>53</v>
      </c>
      <c r="B54" s="16" t="inlineStr">
        <is>
          <t>Rafaele</t>
        </is>
      </c>
      <c r="C54" s="16" t="inlineStr">
        <is>
          <t>@rafaeleramp</t>
        </is>
      </c>
      <c r="D54" s="17" t="inlineStr">
        <is>
          <t>Enviado</t>
        </is>
      </c>
      <c r="E54" s="15" t="inlineStr">
        <is>
          <t>2026-01</t>
        </is>
      </c>
      <c r="F54" s="15" t="inlineStr">
        <is>
          <t>2026-01-09</t>
        </is>
      </c>
      <c r="G54" s="15" t="inlineStr">
        <is>
          <t>2026-01-09</t>
        </is>
      </c>
      <c r="H54" s="15" t="n">
        <v>1</v>
      </c>
      <c r="I54" s="15" t="n">
        <v>1</v>
      </c>
      <c r="J54" s="15" t="n">
        <v>0</v>
      </c>
      <c r="K54" s="15" t="n">
        <v>1</v>
      </c>
      <c r="L54" s="18" t="n">
        <v>0.08</v>
      </c>
      <c r="M54" s="19">
        <f>I54*Resumo!$C$6</f>
        <v/>
      </c>
      <c r="N54" s="19">
        <f>IF(I54&gt;0,Resumo!$C$7,0)</f>
        <v/>
      </c>
      <c r="O54" s="19">
        <f>M54+N54</f>
        <v/>
      </c>
      <c r="P54" s="15" t="n">
        <v>0</v>
      </c>
      <c r="Q54" s="19" t="n">
        <v>0</v>
      </c>
      <c r="R54" s="19" t="n">
        <v>0</v>
      </c>
      <c r="S54" s="19">
        <f>Q54*Resumo!$C$8</f>
        <v/>
      </c>
      <c r="T54" s="19">
        <f>S54-R54-O54</f>
        <v/>
      </c>
      <c r="U54" s="20">
        <f>IF(O54&gt;0,Q54/O54,0)</f>
        <v/>
      </c>
      <c r="V54" s="18">
        <f>IF(O54&gt;0,T54/O54,0)</f>
        <v/>
      </c>
    </row>
    <row r="55">
      <c r="A55" s="21" t="n">
        <v>54</v>
      </c>
      <c r="B55" s="22" t="inlineStr">
        <is>
          <t>daily rafa tibola</t>
        </is>
      </c>
      <c r="C55" s="22" t="inlineStr">
        <is>
          <t>@rafatiboladaily</t>
        </is>
      </c>
      <c r="D55" s="23" t="inlineStr">
        <is>
          <t>Enviado</t>
        </is>
      </c>
      <c r="E55" s="21" t="inlineStr">
        <is>
          <t>2026-01</t>
        </is>
      </c>
      <c r="F55" s="21" t="inlineStr">
        <is>
          <t>2026-01-09</t>
        </is>
      </c>
      <c r="G55" s="21" t="inlineStr">
        <is>
          <t>2026-01-09</t>
        </is>
      </c>
      <c r="H55" s="21" t="n">
        <v>1</v>
      </c>
      <c r="I55" s="21" t="n">
        <v>1</v>
      </c>
      <c r="J55" s="21" t="n">
        <v>0</v>
      </c>
      <c r="K55" s="21" t="n">
        <v>1</v>
      </c>
      <c r="L55" s="24" t="n">
        <v>0.08</v>
      </c>
      <c r="M55" s="25">
        <f>I55*Resumo!$C$6</f>
        <v/>
      </c>
      <c r="N55" s="25">
        <f>IF(I55&gt;0,Resumo!$C$7,0)</f>
        <v/>
      </c>
      <c r="O55" s="25">
        <f>M55+N55</f>
        <v/>
      </c>
      <c r="P55" s="21" t="n">
        <v>0</v>
      </c>
      <c r="Q55" s="25" t="n">
        <v>0</v>
      </c>
      <c r="R55" s="25" t="n">
        <v>0</v>
      </c>
      <c r="S55" s="25">
        <f>Q55*Resumo!$C$8</f>
        <v/>
      </c>
      <c r="T55" s="25">
        <f>S55-R55-O55</f>
        <v/>
      </c>
      <c r="U55" s="26">
        <f>IF(O55&gt;0,Q55/O55,0)</f>
        <v/>
      </c>
      <c r="V55" s="24">
        <f>IF(O55&gt;0,T55/O55,0)</f>
        <v/>
      </c>
    </row>
    <row r="56">
      <c r="A56" s="15" t="n">
        <v>55</v>
      </c>
      <c r="B56" s="16" t="inlineStr">
        <is>
          <t>✨ Gi  ✨</t>
        </is>
      </c>
      <c r="C56" s="16" t="inlineStr">
        <is>
          <t>@dicas_gi</t>
        </is>
      </c>
      <c r="D56" s="17" t="inlineStr">
        <is>
          <t>Enviado</t>
        </is>
      </c>
      <c r="E56" s="15" t="inlineStr">
        <is>
          <t>2026-01</t>
        </is>
      </c>
      <c r="F56" s="15" t="inlineStr">
        <is>
          <t>2026-01-12</t>
        </is>
      </c>
      <c r="G56" s="15" t="inlineStr">
        <is>
          <t>2026-01-12</t>
        </is>
      </c>
      <c r="H56" s="15" t="n">
        <v>1</v>
      </c>
      <c r="I56" s="15" t="n">
        <v>1</v>
      </c>
      <c r="J56" s="15" t="n">
        <v>0</v>
      </c>
      <c r="K56" s="15" t="n">
        <v>1</v>
      </c>
      <c r="L56" s="18" t="n">
        <v>0.08</v>
      </c>
      <c r="M56" s="19">
        <f>I56*Resumo!$C$6</f>
        <v/>
      </c>
      <c r="N56" s="19">
        <f>IF(I56&gt;0,Resumo!$C$7,0)</f>
        <v/>
      </c>
      <c r="O56" s="19">
        <f>M56+N56</f>
        <v/>
      </c>
      <c r="P56" s="15" t="n">
        <v>1</v>
      </c>
      <c r="Q56" s="19" t="n">
        <v>99.90000000000001</v>
      </c>
      <c r="R56" s="19" t="n">
        <v>9.99</v>
      </c>
      <c r="S56" s="19">
        <f>Q56*Resumo!$C$8</f>
        <v/>
      </c>
      <c r="T56" s="19">
        <f>S56-R56-O56</f>
        <v/>
      </c>
      <c r="U56" s="20">
        <f>IF(O56&gt;0,Q56/O56,0)</f>
        <v/>
      </c>
      <c r="V56" s="18">
        <f>IF(O56&gt;0,T56/O56,0)</f>
        <v/>
      </c>
    </row>
    <row r="57">
      <c r="A57" s="21" t="n">
        <v>56</v>
      </c>
      <c r="B57" s="22" t="inlineStr">
        <is>
          <t>Gabi Neves</t>
        </is>
      </c>
      <c r="C57" s="22" t="inlineStr">
        <is>
          <t>@sougabrielaneves</t>
        </is>
      </c>
      <c r="D57" s="23" t="inlineStr">
        <is>
          <t>Enviado</t>
        </is>
      </c>
      <c r="E57" s="21" t="inlineStr">
        <is>
          <t>2026-01</t>
        </is>
      </c>
      <c r="F57" s="21" t="inlineStr">
        <is>
          <t>2026-01-16</t>
        </is>
      </c>
      <c r="G57" s="21" t="inlineStr">
        <is>
          <t>2026-01-16</t>
        </is>
      </c>
      <c r="H57" s="21" t="n">
        <v>1</v>
      </c>
      <c r="I57" s="21" t="n">
        <v>1</v>
      </c>
      <c r="J57" s="21" t="n">
        <v>0</v>
      </c>
      <c r="K57" s="21" t="n">
        <v>1</v>
      </c>
      <c r="L57" s="24" t="n">
        <v>0.08</v>
      </c>
      <c r="M57" s="25">
        <f>I57*Resumo!$C$6</f>
        <v/>
      </c>
      <c r="N57" s="25">
        <f>IF(I57&gt;0,Resumo!$C$7,0)</f>
        <v/>
      </c>
      <c r="O57" s="25">
        <f>M57+N57</f>
        <v/>
      </c>
      <c r="P57" s="21" t="n">
        <v>4</v>
      </c>
      <c r="Q57" s="25" t="n">
        <v>359.6</v>
      </c>
      <c r="R57" s="25" t="n">
        <v>30.36</v>
      </c>
      <c r="S57" s="25">
        <f>Q57*Resumo!$C$8</f>
        <v/>
      </c>
      <c r="T57" s="25">
        <f>S57-R57-O57</f>
        <v/>
      </c>
      <c r="U57" s="26">
        <f>IF(O57&gt;0,Q57/O57,0)</f>
        <v/>
      </c>
      <c r="V57" s="24">
        <f>IF(O57&gt;0,T57/O57,0)</f>
        <v/>
      </c>
    </row>
    <row r="58">
      <c r="A58" s="15" t="n">
        <v>57</v>
      </c>
      <c r="B58" s="16" t="inlineStr">
        <is>
          <t>Yasmin Almeida</t>
        </is>
      </c>
      <c r="C58" s="16" t="inlineStr">
        <is>
          <t>@yasmin.almeiida</t>
        </is>
      </c>
      <c r="D58" s="17" t="inlineStr">
        <is>
          <t>Enviado</t>
        </is>
      </c>
      <c r="E58" s="15" t="inlineStr">
        <is>
          <t>2026-01</t>
        </is>
      </c>
      <c r="F58" s="15" t="inlineStr">
        <is>
          <t>2026-01-16</t>
        </is>
      </c>
      <c r="G58" s="15" t="inlineStr">
        <is>
          <t>2026-01-16</t>
        </is>
      </c>
      <c r="H58" s="15" t="n">
        <v>1</v>
      </c>
      <c r="I58" s="15" t="n">
        <v>1</v>
      </c>
      <c r="J58" s="15" t="n">
        <v>0</v>
      </c>
      <c r="K58" s="15" t="n">
        <v>1</v>
      </c>
      <c r="L58" s="18" t="n">
        <v>0.08</v>
      </c>
      <c r="M58" s="19">
        <f>I58*Resumo!$C$6</f>
        <v/>
      </c>
      <c r="N58" s="19">
        <f>IF(I58&gt;0,Resumo!$C$7,0)</f>
        <v/>
      </c>
      <c r="O58" s="19">
        <f>M58+N58</f>
        <v/>
      </c>
      <c r="P58" s="15" t="n">
        <v>4</v>
      </c>
      <c r="Q58" s="19" t="n">
        <v>359.6</v>
      </c>
      <c r="R58" s="19" t="n">
        <v>31.96</v>
      </c>
      <c r="S58" s="19">
        <f>Q58*Resumo!$C$8</f>
        <v/>
      </c>
      <c r="T58" s="19">
        <f>S58-R58-O58</f>
        <v/>
      </c>
      <c r="U58" s="20">
        <f>IF(O58&gt;0,Q58/O58,0)</f>
        <v/>
      </c>
      <c r="V58" s="18">
        <f>IF(O58&gt;0,T58/O58,0)</f>
        <v/>
      </c>
    </row>
    <row r="59">
      <c r="A59" s="21" t="n">
        <v>58</v>
      </c>
      <c r="B59" s="22" t="inlineStr">
        <is>
          <t>Danielle Yasmin</t>
        </is>
      </c>
      <c r="C59" s="22" t="inlineStr">
        <is>
          <t>@fiofinooficiall</t>
        </is>
      </c>
      <c r="D59" s="23" t="inlineStr">
        <is>
          <t>Enviado</t>
        </is>
      </c>
      <c r="E59" s="21" t="inlineStr">
        <is>
          <t>2026-01</t>
        </is>
      </c>
      <c r="F59" s="21" t="inlineStr">
        <is>
          <t>2026-01-16</t>
        </is>
      </c>
      <c r="G59" s="21" t="inlineStr">
        <is>
          <t>2026-01-16</t>
        </is>
      </c>
      <c r="H59" s="21" t="n">
        <v>1</v>
      </c>
      <c r="I59" s="21" t="n">
        <v>1</v>
      </c>
      <c r="J59" s="21" t="n">
        <v>0</v>
      </c>
      <c r="K59" s="21" t="n">
        <v>1</v>
      </c>
      <c r="L59" s="24" t="n">
        <v>0.08</v>
      </c>
      <c r="M59" s="25">
        <f>I59*Resumo!$C$6</f>
        <v/>
      </c>
      <c r="N59" s="25">
        <f>IF(I59&gt;0,Resumo!$C$7,0)</f>
        <v/>
      </c>
      <c r="O59" s="25">
        <f>M59+N59</f>
        <v/>
      </c>
      <c r="P59" s="21" t="n">
        <v>0</v>
      </c>
      <c r="Q59" s="25" t="n">
        <v>0</v>
      </c>
      <c r="R59" s="25" t="n">
        <v>0</v>
      </c>
      <c r="S59" s="25">
        <f>Q59*Resumo!$C$8</f>
        <v/>
      </c>
      <c r="T59" s="25">
        <f>S59-R59-O59</f>
        <v/>
      </c>
      <c r="U59" s="26">
        <f>IF(O59&gt;0,Q59/O59,0)</f>
        <v/>
      </c>
      <c r="V59" s="24">
        <f>IF(O59&gt;0,T59/O59,0)</f>
        <v/>
      </c>
    </row>
    <row r="60">
      <c r="A60" s="15" t="n">
        <v>59</v>
      </c>
      <c r="B60" s="16" t="inlineStr">
        <is>
          <t>Aline Cavanellas</t>
        </is>
      </c>
      <c r="C60" s="16" t="inlineStr">
        <is>
          <t>@alinecavanellas</t>
        </is>
      </c>
      <c r="D60" s="17" t="inlineStr">
        <is>
          <t>Enviado</t>
        </is>
      </c>
      <c r="E60" s="15" t="inlineStr">
        <is>
          <t>2026-01</t>
        </is>
      </c>
      <c r="F60" s="15" t="inlineStr">
        <is>
          <t>2026-01-17</t>
        </is>
      </c>
      <c r="G60" s="15" t="inlineStr">
        <is>
          <t>2026-01-17</t>
        </is>
      </c>
      <c r="H60" s="15" t="n">
        <v>1</v>
      </c>
      <c r="I60" s="15" t="n">
        <v>1</v>
      </c>
      <c r="J60" s="15" t="n">
        <v>0</v>
      </c>
      <c r="K60" s="15" t="n">
        <v>1</v>
      </c>
      <c r="L60" s="18" t="n">
        <v>0.08</v>
      </c>
      <c r="M60" s="19">
        <f>I60*Resumo!$C$6</f>
        <v/>
      </c>
      <c r="N60" s="19">
        <f>IF(I60&gt;0,Resumo!$C$7,0)</f>
        <v/>
      </c>
      <c r="O60" s="19">
        <f>M60+N60</f>
        <v/>
      </c>
      <c r="P60" s="15" t="n">
        <v>0</v>
      </c>
      <c r="Q60" s="19" t="n">
        <v>0</v>
      </c>
      <c r="R60" s="19" t="n">
        <v>0</v>
      </c>
      <c r="S60" s="19">
        <f>Q60*Resumo!$C$8</f>
        <v/>
      </c>
      <c r="T60" s="19">
        <f>S60-R60-O60</f>
        <v/>
      </c>
      <c r="U60" s="20">
        <f>IF(O60&gt;0,Q60/O60,0)</f>
        <v/>
      </c>
      <c r="V60" s="18">
        <f>IF(O60&gt;0,T60/O60,0)</f>
        <v/>
      </c>
    </row>
    <row r="61">
      <c r="A61" s="21" t="n">
        <v>60</v>
      </c>
      <c r="B61" s="22" t="inlineStr">
        <is>
          <t>Jesi Alves</t>
        </is>
      </c>
      <c r="C61" s="22" t="inlineStr">
        <is>
          <t>@jesialvescreator</t>
        </is>
      </c>
      <c r="D61" s="23" t="inlineStr">
        <is>
          <t>Enviado</t>
        </is>
      </c>
      <c r="E61" s="21" t="inlineStr">
        <is>
          <t>2026-01</t>
        </is>
      </c>
      <c r="F61" s="21" t="inlineStr">
        <is>
          <t>2026-01-20</t>
        </is>
      </c>
      <c r="G61" s="21" t="inlineStr">
        <is>
          <t>2026-01-28</t>
        </is>
      </c>
      <c r="H61" s="21" t="n">
        <v>8</v>
      </c>
      <c r="I61" s="21" t="n">
        <v>8</v>
      </c>
      <c r="J61" s="21" t="n">
        <v>0</v>
      </c>
      <c r="K61" s="21" t="n">
        <v>8</v>
      </c>
      <c r="L61" s="24" t="n">
        <v>0.08</v>
      </c>
      <c r="M61" s="25">
        <f>I61*Resumo!$C$6</f>
        <v/>
      </c>
      <c r="N61" s="25">
        <f>IF(I61&gt;0,Resumo!$C$7,0)</f>
        <v/>
      </c>
      <c r="O61" s="25">
        <f>M61+N61</f>
        <v/>
      </c>
      <c r="P61" s="21" t="n">
        <v>14</v>
      </c>
      <c r="Q61" s="25" t="n">
        <v>1358.86</v>
      </c>
      <c r="R61" s="25" t="n">
        <v>103.51</v>
      </c>
      <c r="S61" s="25">
        <f>Q61*Resumo!$C$8</f>
        <v/>
      </c>
      <c r="T61" s="25">
        <f>S61-R61-O61</f>
        <v/>
      </c>
      <c r="U61" s="26">
        <f>IF(O61&gt;0,Q61/O61,0)</f>
        <v/>
      </c>
      <c r="V61" s="24">
        <f>IF(O61&gt;0,T61/O61,0)</f>
        <v/>
      </c>
    </row>
    <row r="62">
      <c r="A62" s="15" t="n">
        <v>61</v>
      </c>
      <c r="B62" s="16" t="inlineStr">
        <is>
          <t>Taciane | Shop Creator</t>
        </is>
      </c>
      <c r="C62" s="16" t="inlineStr">
        <is>
          <t>@tacianecreator</t>
        </is>
      </c>
      <c r="D62" s="17" t="inlineStr">
        <is>
          <t>Enviado</t>
        </is>
      </c>
      <c r="E62" s="15" t="inlineStr">
        <is>
          <t>2026-01</t>
        </is>
      </c>
      <c r="F62" s="15" t="inlineStr">
        <is>
          <t>2026-01-20</t>
        </is>
      </c>
      <c r="G62" s="15" t="inlineStr">
        <is>
          <t>2026-01-20</t>
        </is>
      </c>
      <c r="H62" s="15" t="n">
        <v>3</v>
      </c>
      <c r="I62" s="15" t="n">
        <v>3</v>
      </c>
      <c r="J62" s="15" t="n">
        <v>0</v>
      </c>
      <c r="K62" s="15" t="n">
        <v>3</v>
      </c>
      <c r="L62" s="18" t="n">
        <v>0.08</v>
      </c>
      <c r="M62" s="19">
        <f>I62*Resumo!$C$6</f>
        <v/>
      </c>
      <c r="N62" s="19">
        <f>IF(I62&gt;0,Resumo!$C$7,0)</f>
        <v/>
      </c>
      <c r="O62" s="19">
        <f>M62+N62</f>
        <v/>
      </c>
      <c r="P62" s="15" t="n">
        <v>0</v>
      </c>
      <c r="Q62" s="19" t="n">
        <v>0</v>
      </c>
      <c r="R62" s="19" t="n">
        <v>0</v>
      </c>
      <c r="S62" s="19">
        <f>Q62*Resumo!$C$8</f>
        <v/>
      </c>
      <c r="T62" s="19">
        <f>S62-R62-O62</f>
        <v/>
      </c>
      <c r="U62" s="20">
        <f>IF(O62&gt;0,Q62/O62,0)</f>
        <v/>
      </c>
      <c r="V62" s="18">
        <f>IF(O62&gt;0,T62/O62,0)</f>
        <v/>
      </c>
    </row>
    <row r="63">
      <c r="A63" s="21" t="n">
        <v>62</v>
      </c>
      <c r="B63" s="22" t="inlineStr">
        <is>
          <t>Roberta Koppenhagen</t>
        </is>
      </c>
      <c r="C63" s="22" t="inlineStr">
        <is>
          <t>@robertakguilherme</t>
        </is>
      </c>
      <c r="D63" s="23" t="inlineStr">
        <is>
          <t>Enviado</t>
        </is>
      </c>
      <c r="E63" s="21" t="inlineStr">
        <is>
          <t>2026-01</t>
        </is>
      </c>
      <c r="F63" s="21" t="inlineStr">
        <is>
          <t>2026-01-22</t>
        </is>
      </c>
      <c r="G63" s="21" t="inlineStr">
        <is>
          <t>2026-01-22</t>
        </is>
      </c>
      <c r="H63" s="21" t="n">
        <v>4</v>
      </c>
      <c r="I63" s="21" t="n">
        <v>4</v>
      </c>
      <c r="J63" s="21" t="n">
        <v>0</v>
      </c>
      <c r="K63" s="21" t="n">
        <v>4</v>
      </c>
      <c r="L63" s="24" t="n">
        <v>0.08</v>
      </c>
      <c r="M63" s="25">
        <f>I63*Resumo!$C$6</f>
        <v/>
      </c>
      <c r="N63" s="25">
        <f>IF(I63&gt;0,Resumo!$C$7,0)</f>
        <v/>
      </c>
      <c r="O63" s="25">
        <f>M63+N63</f>
        <v/>
      </c>
      <c r="P63" s="21" t="n">
        <v>50</v>
      </c>
      <c r="Q63" s="25" t="n">
        <v>4696.91</v>
      </c>
      <c r="R63" s="25" t="n">
        <v>163.11</v>
      </c>
      <c r="S63" s="25">
        <f>Q63*Resumo!$C$8</f>
        <v/>
      </c>
      <c r="T63" s="25">
        <f>S63-R63-O63</f>
        <v/>
      </c>
      <c r="U63" s="26">
        <f>IF(O63&gt;0,Q63/O63,0)</f>
        <v/>
      </c>
      <c r="V63" s="24">
        <f>IF(O63&gt;0,T63/O63,0)</f>
        <v/>
      </c>
    </row>
    <row r="64">
      <c r="A64" s="15" t="n">
        <v>63</v>
      </c>
      <c r="B64" s="16" t="inlineStr">
        <is>
          <t>Natalia Marques</t>
        </is>
      </c>
      <c r="C64" s="16" t="inlineStr">
        <is>
          <t>@natmarquesvi</t>
        </is>
      </c>
      <c r="D64" s="17" t="inlineStr">
        <is>
          <t>Enviado</t>
        </is>
      </c>
      <c r="E64" s="15" t="inlineStr">
        <is>
          <t>2026-01</t>
        </is>
      </c>
      <c r="F64" s="15" t="inlineStr">
        <is>
          <t>2026-01-23</t>
        </is>
      </c>
      <c r="G64" s="15" t="inlineStr">
        <is>
          <t>2026-01-23</t>
        </is>
      </c>
      <c r="H64" s="15" t="n">
        <v>4</v>
      </c>
      <c r="I64" s="15" t="n">
        <v>4</v>
      </c>
      <c r="J64" s="15" t="n">
        <v>0</v>
      </c>
      <c r="K64" s="15" t="n">
        <v>4</v>
      </c>
      <c r="L64" s="18" t="n">
        <v>0.08</v>
      </c>
      <c r="M64" s="19">
        <f>I64*Resumo!$C$6</f>
        <v/>
      </c>
      <c r="N64" s="19">
        <f>IF(I64&gt;0,Resumo!$C$7,0)</f>
        <v/>
      </c>
      <c r="O64" s="19">
        <f>M64+N64</f>
        <v/>
      </c>
      <c r="P64" s="15" t="n">
        <v>3885</v>
      </c>
      <c r="Q64" s="19" t="n">
        <v>307358.22</v>
      </c>
      <c r="R64" s="19" t="n">
        <v>33654.69</v>
      </c>
      <c r="S64" s="19">
        <f>Q64*Resumo!$C$8</f>
        <v/>
      </c>
      <c r="T64" s="19">
        <f>S64-R64-O64</f>
        <v/>
      </c>
      <c r="U64" s="20">
        <f>IF(O64&gt;0,Q64/O64,0)</f>
        <v/>
      </c>
      <c r="V64" s="18">
        <f>IF(O64&gt;0,T64/O64,0)</f>
        <v/>
      </c>
    </row>
    <row r="65">
      <c r="A65" s="21" t="n">
        <v>64</v>
      </c>
      <c r="B65" s="22" t="inlineStr">
        <is>
          <t>Nandika | Indica🪞</t>
        </is>
      </c>
      <c r="C65" s="22" t="inlineStr">
        <is>
          <t>@fernandashops</t>
        </is>
      </c>
      <c r="D65" s="23" t="inlineStr">
        <is>
          <t>Enviado</t>
        </is>
      </c>
      <c r="E65" s="21" t="inlineStr">
        <is>
          <t>2026-01</t>
        </is>
      </c>
      <c r="F65" s="21" t="inlineStr">
        <is>
          <t>2026-01-26</t>
        </is>
      </c>
      <c r="G65" s="21" t="inlineStr">
        <is>
          <t>2026-01-26</t>
        </is>
      </c>
      <c r="H65" s="21" t="n">
        <v>4</v>
      </c>
      <c r="I65" s="21" t="n">
        <v>4</v>
      </c>
      <c r="J65" s="21" t="n">
        <v>0</v>
      </c>
      <c r="K65" s="21" t="n">
        <v>4</v>
      </c>
      <c r="L65" s="24" t="n">
        <v>0.08</v>
      </c>
      <c r="M65" s="25">
        <f>I65*Resumo!$C$6</f>
        <v/>
      </c>
      <c r="N65" s="25">
        <f>IF(I65&gt;0,Resumo!$C$7,0)</f>
        <v/>
      </c>
      <c r="O65" s="25">
        <f>M65+N65</f>
        <v/>
      </c>
      <c r="P65" s="21" t="n">
        <v>0</v>
      </c>
      <c r="Q65" s="25" t="n">
        <v>0</v>
      </c>
      <c r="R65" s="25" t="n">
        <v>0</v>
      </c>
      <c r="S65" s="25">
        <f>Q65*Resumo!$C$8</f>
        <v/>
      </c>
      <c r="T65" s="25">
        <f>S65-R65-O65</f>
        <v/>
      </c>
      <c r="U65" s="26">
        <f>IF(O65&gt;0,Q65/O65,0)</f>
        <v/>
      </c>
      <c r="V65" s="24">
        <f>IF(O65&gt;0,T65/O65,0)</f>
        <v/>
      </c>
    </row>
    <row r="66">
      <c r="A66" s="15" t="n">
        <v>65</v>
      </c>
      <c r="B66" s="16" t="inlineStr">
        <is>
          <t>Jess Mesant</t>
        </is>
      </c>
      <c r="C66" s="16" t="inlineStr">
        <is>
          <t>@jessicamesant</t>
        </is>
      </c>
      <c r="D66" s="17" t="inlineStr">
        <is>
          <t>Enviado</t>
        </is>
      </c>
      <c r="E66" s="15" t="inlineStr">
        <is>
          <t>2026-01</t>
        </is>
      </c>
      <c r="F66" s="15" t="inlineStr">
        <is>
          <t>2026-01-28</t>
        </is>
      </c>
      <c r="G66" s="15" t="inlineStr">
        <is>
          <t>2026-01-28</t>
        </is>
      </c>
      <c r="H66" s="15" t="n">
        <v>5</v>
      </c>
      <c r="I66" s="15" t="n">
        <v>5</v>
      </c>
      <c r="J66" s="15" t="n">
        <v>0</v>
      </c>
      <c r="K66" s="15" t="n">
        <v>5</v>
      </c>
      <c r="L66" s="18" t="n">
        <v>0.12</v>
      </c>
      <c r="M66" s="19">
        <f>I66*Resumo!$C$6</f>
        <v/>
      </c>
      <c r="N66" s="19">
        <f>IF(I66&gt;0,Resumo!$C$7,0)</f>
        <v/>
      </c>
      <c r="O66" s="19">
        <f>M66+N66</f>
        <v/>
      </c>
      <c r="P66" s="15" t="n">
        <v>145</v>
      </c>
      <c r="Q66" s="19" t="n">
        <v>13163.12</v>
      </c>
      <c r="R66" s="19" t="n">
        <v>754.22</v>
      </c>
      <c r="S66" s="19">
        <f>Q66*Resumo!$C$8</f>
        <v/>
      </c>
      <c r="T66" s="19">
        <f>S66-R66-O66</f>
        <v/>
      </c>
      <c r="U66" s="20">
        <f>IF(O66&gt;0,Q66/O66,0)</f>
        <v/>
      </c>
      <c r="V66" s="18">
        <f>IF(O66&gt;0,T66/O66,0)</f>
        <v/>
      </c>
    </row>
    <row r="67">
      <c r="A67" s="27" t="n">
        <v>66</v>
      </c>
      <c r="B67" s="28" t="inlineStr">
        <is>
          <t>brenda.theblushlab</t>
        </is>
      </c>
      <c r="C67" s="28" t="inlineStr">
        <is>
          <t>@brenda.theblushlab</t>
        </is>
      </c>
      <c r="D67" s="29" t="inlineStr">
        <is>
          <t>Nada enviado</t>
        </is>
      </c>
      <c r="E67" s="27" t="inlineStr">
        <is>
          <t>2026-01</t>
        </is>
      </c>
      <c r="F67" s="27" t="inlineStr">
        <is>
          <t>2026-01-28</t>
        </is>
      </c>
      <c r="G67" s="27" t="inlineStr">
        <is>
          <t>2026-01-28</t>
        </is>
      </c>
      <c r="H67" s="27" t="n">
        <v>1</v>
      </c>
      <c r="I67" s="27" t="n">
        <v>0</v>
      </c>
      <c r="J67" s="27" t="n">
        <v>1</v>
      </c>
      <c r="K67" s="27" t="n">
        <v>1</v>
      </c>
      <c r="L67" s="30" t="n">
        <v>0.08</v>
      </c>
      <c r="M67" s="31">
        <f>I67*Resumo!$C$6</f>
        <v/>
      </c>
      <c r="N67" s="31">
        <f>IF(I67&gt;0,Resumo!$C$7,0)</f>
        <v/>
      </c>
      <c r="O67" s="31">
        <f>M67+N67</f>
        <v/>
      </c>
      <c r="P67" s="27" t="n">
        <v>5</v>
      </c>
      <c r="Q67" s="31" t="n">
        <v>404.59</v>
      </c>
      <c r="R67" s="31" t="n">
        <v>38.56</v>
      </c>
      <c r="S67" s="31">
        <f>Q67*Resumo!$C$8</f>
        <v/>
      </c>
      <c r="T67" s="31">
        <f>S67-R67-O67</f>
        <v/>
      </c>
      <c r="U67" s="32">
        <f>IF(O67&gt;0,Q67/O67,0)</f>
        <v/>
      </c>
      <c r="V67" s="30">
        <f>IF(O67&gt;0,T67/O67,0)</f>
        <v/>
      </c>
    </row>
    <row r="68">
      <c r="A68" s="15" t="n">
        <v>67</v>
      </c>
      <c r="B68" s="16" t="inlineStr">
        <is>
          <t>Jéssica Braz</t>
        </is>
      </c>
      <c r="C68" s="16" t="inlineStr">
        <is>
          <t>@jessicap.braz</t>
        </is>
      </c>
      <c r="D68" s="17" t="inlineStr">
        <is>
          <t>Enviado</t>
        </is>
      </c>
      <c r="E68" s="15" t="inlineStr">
        <is>
          <t>2026-01</t>
        </is>
      </c>
      <c r="F68" s="15" t="inlineStr">
        <is>
          <t>2026-01-29</t>
        </is>
      </c>
      <c r="G68" s="15" t="inlineStr">
        <is>
          <t>2026-01-29</t>
        </is>
      </c>
      <c r="H68" s="15" t="n">
        <v>1</v>
      </c>
      <c r="I68" s="15" t="n">
        <v>1</v>
      </c>
      <c r="J68" s="15" t="n">
        <v>0</v>
      </c>
      <c r="K68" s="15" t="n">
        <v>1</v>
      </c>
      <c r="L68" s="18" t="n">
        <v>0.08</v>
      </c>
      <c r="M68" s="19">
        <f>I68*Resumo!$C$6</f>
        <v/>
      </c>
      <c r="N68" s="19">
        <f>IF(I68&gt;0,Resumo!$C$7,0)</f>
        <v/>
      </c>
      <c r="O68" s="19">
        <f>M68+N68</f>
        <v/>
      </c>
      <c r="P68" s="15" t="n">
        <v>6</v>
      </c>
      <c r="Q68" s="19" t="n">
        <v>489.4</v>
      </c>
      <c r="R68" s="19" t="n">
        <v>39.15</v>
      </c>
      <c r="S68" s="19">
        <f>Q68*Resumo!$C$8</f>
        <v/>
      </c>
      <c r="T68" s="19">
        <f>S68-R68-O68</f>
        <v/>
      </c>
      <c r="U68" s="20">
        <f>IF(O68&gt;0,Q68/O68,0)</f>
        <v/>
      </c>
      <c r="V68" s="18">
        <f>IF(O68&gt;0,T68/O68,0)</f>
        <v/>
      </c>
    </row>
    <row r="69">
      <c r="A69" s="21" t="n">
        <v>68</v>
      </c>
      <c r="B69" s="22" t="inlineStr">
        <is>
          <t>Larissa Ramos</t>
        </is>
      </c>
      <c r="C69" s="22" t="inlineStr">
        <is>
          <t>@lari.fitbeauty</t>
        </is>
      </c>
      <c r="D69" s="23" t="inlineStr">
        <is>
          <t>Enviado</t>
        </is>
      </c>
      <c r="E69" s="21" t="inlineStr">
        <is>
          <t>2026-01</t>
        </is>
      </c>
      <c r="F69" s="21" t="inlineStr">
        <is>
          <t>2026-01-29</t>
        </is>
      </c>
      <c r="G69" s="21" t="inlineStr">
        <is>
          <t>2026-01-29</t>
        </is>
      </c>
      <c r="H69" s="21" t="n">
        <v>1</v>
      </c>
      <c r="I69" s="21" t="n">
        <v>1</v>
      </c>
      <c r="J69" s="21" t="n">
        <v>0</v>
      </c>
      <c r="K69" s="21" t="n">
        <v>1</v>
      </c>
      <c r="L69" s="24" t="n">
        <v>0.08</v>
      </c>
      <c r="M69" s="25">
        <f>I69*Resumo!$C$6</f>
        <v/>
      </c>
      <c r="N69" s="25">
        <f>IF(I69&gt;0,Resumo!$C$7,0)</f>
        <v/>
      </c>
      <c r="O69" s="25">
        <f>M69+N69</f>
        <v/>
      </c>
      <c r="P69" s="21" t="n">
        <v>1</v>
      </c>
      <c r="Q69" s="25" t="n">
        <v>89.90000000000001</v>
      </c>
      <c r="R69" s="25" t="n">
        <v>7.19</v>
      </c>
      <c r="S69" s="25">
        <f>Q69*Resumo!$C$8</f>
        <v/>
      </c>
      <c r="T69" s="25">
        <f>S69-R69-O69</f>
        <v/>
      </c>
      <c r="U69" s="26">
        <f>IF(O69&gt;0,Q69/O69,0)</f>
        <v/>
      </c>
      <c r="V69" s="24">
        <f>IF(O69&gt;0,T69/O69,0)</f>
        <v/>
      </c>
    </row>
    <row r="70">
      <c r="A70" s="15" t="n">
        <v>69</v>
      </c>
      <c r="B70" s="16" t="inlineStr">
        <is>
          <t>Ju Ginez Creator Shop</t>
        </is>
      </c>
      <c r="C70" s="16" t="inlineStr">
        <is>
          <t>@juginezcreatorshop</t>
        </is>
      </c>
      <c r="D70" s="17" t="inlineStr">
        <is>
          <t>Enviado</t>
        </is>
      </c>
      <c r="E70" s="15" t="inlineStr">
        <is>
          <t>2026-01</t>
        </is>
      </c>
      <c r="F70" s="15" t="inlineStr">
        <is>
          <t>2026-01-29</t>
        </is>
      </c>
      <c r="G70" s="15" t="inlineStr">
        <is>
          <t>2026-01-29</t>
        </is>
      </c>
      <c r="H70" s="15" t="n">
        <v>1</v>
      </c>
      <c r="I70" s="15" t="n">
        <v>1</v>
      </c>
      <c r="J70" s="15" t="n">
        <v>0</v>
      </c>
      <c r="K70" s="15" t="n">
        <v>1</v>
      </c>
      <c r="L70" s="18" t="n">
        <v>0.08</v>
      </c>
      <c r="M70" s="19">
        <f>I70*Resumo!$C$6</f>
        <v/>
      </c>
      <c r="N70" s="19">
        <f>IF(I70&gt;0,Resumo!$C$7,0)</f>
        <v/>
      </c>
      <c r="O70" s="19">
        <f>M70+N70</f>
        <v/>
      </c>
      <c r="P70" s="15" t="n">
        <v>1</v>
      </c>
      <c r="Q70" s="19" t="n">
        <v>79.90000000000001</v>
      </c>
      <c r="R70" s="19" t="n">
        <v>7.99</v>
      </c>
      <c r="S70" s="19">
        <f>Q70*Resumo!$C$8</f>
        <v/>
      </c>
      <c r="T70" s="19">
        <f>S70-R70-O70</f>
        <v/>
      </c>
      <c r="U70" s="20">
        <f>IF(O70&gt;0,Q70/O70,0)</f>
        <v/>
      </c>
      <c r="V70" s="18">
        <f>IF(O70&gt;0,T70/O70,0)</f>
        <v/>
      </c>
    </row>
    <row r="71">
      <c r="A71" s="21" t="n">
        <v>70</v>
      </c>
      <c r="B71" s="22" t="inlineStr">
        <is>
          <t>Gleicy | UGC | Creator</t>
        </is>
      </c>
      <c r="C71" s="22" t="inlineStr">
        <is>
          <t>@gleicysoares4</t>
        </is>
      </c>
      <c r="D71" s="23" t="inlineStr">
        <is>
          <t>Enviado</t>
        </is>
      </c>
      <c r="E71" s="21" t="inlineStr">
        <is>
          <t>2026-01</t>
        </is>
      </c>
      <c r="F71" s="21" t="inlineStr">
        <is>
          <t>2026-01-31</t>
        </is>
      </c>
      <c r="G71" s="21" t="inlineStr">
        <is>
          <t>2026-01-31</t>
        </is>
      </c>
      <c r="H71" s="21" t="n">
        <v>3</v>
      </c>
      <c r="I71" s="21" t="n">
        <v>3</v>
      </c>
      <c r="J71" s="21" t="n">
        <v>0</v>
      </c>
      <c r="K71" s="21" t="n">
        <v>3</v>
      </c>
      <c r="L71" s="24" t="n">
        <v>0.08</v>
      </c>
      <c r="M71" s="25">
        <f>I71*Resumo!$C$6</f>
        <v/>
      </c>
      <c r="N71" s="25">
        <f>IF(I71&gt;0,Resumo!$C$7,0)</f>
        <v/>
      </c>
      <c r="O71" s="25">
        <f>M71+N71</f>
        <v/>
      </c>
      <c r="P71" s="21" t="n">
        <v>0</v>
      </c>
      <c r="Q71" s="25" t="n">
        <v>0</v>
      </c>
      <c r="R71" s="25" t="n">
        <v>0</v>
      </c>
      <c r="S71" s="25">
        <f>Q71*Resumo!$C$8</f>
        <v/>
      </c>
      <c r="T71" s="25">
        <f>S71-R71-O71</f>
        <v/>
      </c>
      <c r="U71" s="26">
        <f>IF(O71&gt;0,Q71/O71,0)</f>
        <v/>
      </c>
      <c r="V71" s="24">
        <f>IF(O71&gt;0,T71/O71,0)</f>
        <v/>
      </c>
    </row>
    <row r="72">
      <c r="A72" s="15" t="n">
        <v>71</v>
      </c>
      <c r="B72" s="16" t="inlineStr">
        <is>
          <t>ShopcomKa</t>
        </is>
      </c>
      <c r="C72" s="16" t="inlineStr">
        <is>
          <t>@kcomkarina</t>
        </is>
      </c>
      <c r="D72" s="17" t="inlineStr">
        <is>
          <t>Enviado</t>
        </is>
      </c>
      <c r="E72" s="15" t="inlineStr">
        <is>
          <t>2026-02</t>
        </is>
      </c>
      <c r="F72" s="15" t="inlineStr">
        <is>
          <t>2026-02-01</t>
        </is>
      </c>
      <c r="G72" s="15" t="inlineStr">
        <is>
          <t>2026-02-01</t>
        </is>
      </c>
      <c r="H72" s="15" t="n">
        <v>1</v>
      </c>
      <c r="I72" s="15" t="n">
        <v>1</v>
      </c>
      <c r="J72" s="15" t="n">
        <v>0</v>
      </c>
      <c r="K72" s="15" t="n">
        <v>1</v>
      </c>
      <c r="L72" s="18" t="n">
        <v>0.08</v>
      </c>
      <c r="M72" s="19">
        <f>I72*Resumo!$C$6</f>
        <v/>
      </c>
      <c r="N72" s="19">
        <f>IF(I72&gt;0,Resumo!$C$7,0)</f>
        <v/>
      </c>
      <c r="O72" s="19">
        <f>M72+N72</f>
        <v/>
      </c>
      <c r="P72" s="15" t="n">
        <v>15</v>
      </c>
      <c r="Q72" s="19" t="n">
        <v>1161.68</v>
      </c>
      <c r="R72" s="19" t="n">
        <v>116.18</v>
      </c>
      <c r="S72" s="19">
        <f>Q72*Resumo!$C$8</f>
        <v/>
      </c>
      <c r="T72" s="19">
        <f>S72-R72-O72</f>
        <v/>
      </c>
      <c r="U72" s="20">
        <f>IF(O72&gt;0,Q72/O72,0)</f>
        <v/>
      </c>
      <c r="V72" s="18">
        <f>IF(O72&gt;0,T72/O72,0)</f>
        <v/>
      </c>
    </row>
    <row r="73">
      <c r="A73" s="21" t="n">
        <v>72</v>
      </c>
      <c r="B73" s="22" t="inlineStr">
        <is>
          <t>Aline Cavanellas</t>
        </is>
      </c>
      <c r="C73" s="22" t="inlineStr">
        <is>
          <t>@alinecavanellas</t>
        </is>
      </c>
      <c r="D73" s="23" t="inlineStr">
        <is>
          <t>Enviado</t>
        </is>
      </c>
      <c r="E73" s="21" t="inlineStr">
        <is>
          <t>2026-02</t>
        </is>
      </c>
      <c r="F73" s="21" t="inlineStr">
        <is>
          <t>2026-02-02</t>
        </is>
      </c>
      <c r="G73" s="21" t="inlineStr">
        <is>
          <t>2026-02-11</t>
        </is>
      </c>
      <c r="H73" s="21" t="n">
        <v>4</v>
      </c>
      <c r="I73" s="21" t="n">
        <v>3</v>
      </c>
      <c r="J73" s="21" t="n">
        <v>1</v>
      </c>
      <c r="K73" s="21" t="n">
        <v>4</v>
      </c>
      <c r="L73" s="24" t="n">
        <v>0.08</v>
      </c>
      <c r="M73" s="25">
        <f>I73*Resumo!$C$6</f>
        <v/>
      </c>
      <c r="N73" s="25">
        <f>IF(I73&gt;0,Resumo!$C$7,0)</f>
        <v/>
      </c>
      <c r="O73" s="25">
        <f>M73+N73</f>
        <v/>
      </c>
      <c r="P73" s="21" t="n">
        <v>635</v>
      </c>
      <c r="Q73" s="25" t="n">
        <v>56559.64</v>
      </c>
      <c r="R73" s="25" t="n">
        <v>3100.84</v>
      </c>
      <c r="S73" s="25">
        <f>Q73*Resumo!$C$8</f>
        <v/>
      </c>
      <c r="T73" s="25">
        <f>S73-R73-O73</f>
        <v/>
      </c>
      <c r="U73" s="26">
        <f>IF(O73&gt;0,Q73/O73,0)</f>
        <v/>
      </c>
      <c r="V73" s="24">
        <f>IF(O73&gt;0,T73/O73,0)</f>
        <v/>
      </c>
    </row>
    <row r="74">
      <c r="A74" s="15" t="n">
        <v>73</v>
      </c>
      <c r="B74" s="16" t="inlineStr">
        <is>
          <t>Dani_Jeans TikTok shop</t>
        </is>
      </c>
      <c r="C74" s="16" t="inlineStr">
        <is>
          <t>@danijeans</t>
        </is>
      </c>
      <c r="D74" s="17" t="inlineStr">
        <is>
          <t>Enviado</t>
        </is>
      </c>
      <c r="E74" s="15" t="inlineStr">
        <is>
          <t>2026-02</t>
        </is>
      </c>
      <c r="F74" s="15" t="inlineStr">
        <is>
          <t>2026-02-02</t>
        </is>
      </c>
      <c r="G74" s="15" t="inlineStr">
        <is>
          <t>2026-02-02</t>
        </is>
      </c>
      <c r="H74" s="15" t="n">
        <v>5</v>
      </c>
      <c r="I74" s="15" t="n">
        <v>5</v>
      </c>
      <c r="J74" s="15" t="n">
        <v>0</v>
      </c>
      <c r="K74" s="15" t="n">
        <v>5</v>
      </c>
      <c r="L74" s="18" t="n">
        <v>0.08</v>
      </c>
      <c r="M74" s="19">
        <f>I74*Resumo!$C$6</f>
        <v/>
      </c>
      <c r="N74" s="19">
        <f>IF(I74&gt;0,Resumo!$C$7,0)</f>
        <v/>
      </c>
      <c r="O74" s="19">
        <f>M74+N74</f>
        <v/>
      </c>
      <c r="P74" s="15" t="n">
        <v>222</v>
      </c>
      <c r="Q74" s="19" t="n">
        <v>17208.01</v>
      </c>
      <c r="R74" s="19" t="n">
        <v>1578.32</v>
      </c>
      <c r="S74" s="19">
        <f>Q74*Resumo!$C$8</f>
        <v/>
      </c>
      <c r="T74" s="19">
        <f>S74-R74-O74</f>
        <v/>
      </c>
      <c r="U74" s="20">
        <f>IF(O74&gt;0,Q74/O74,0)</f>
        <v/>
      </c>
      <c r="V74" s="18">
        <f>IF(O74&gt;0,T74/O74,0)</f>
        <v/>
      </c>
    </row>
    <row r="75">
      <c r="A75" s="21" t="n">
        <v>74</v>
      </c>
      <c r="B75" s="22" t="inlineStr">
        <is>
          <t>Flavinha Carvalho</t>
        </is>
      </c>
      <c r="C75" s="22" t="inlineStr">
        <is>
          <t>@flavinha.brand</t>
        </is>
      </c>
      <c r="D75" s="23" t="inlineStr">
        <is>
          <t>Enviado</t>
        </is>
      </c>
      <c r="E75" s="21" t="inlineStr">
        <is>
          <t>2026-02</t>
        </is>
      </c>
      <c r="F75" s="21" t="inlineStr">
        <is>
          <t>2026-02-02</t>
        </is>
      </c>
      <c r="G75" s="21" t="inlineStr">
        <is>
          <t>2026-02-02</t>
        </is>
      </c>
      <c r="H75" s="21" t="n">
        <v>2</v>
      </c>
      <c r="I75" s="21" t="n">
        <v>2</v>
      </c>
      <c r="J75" s="21" t="n">
        <v>0</v>
      </c>
      <c r="K75" s="21" t="n">
        <v>2</v>
      </c>
      <c r="L75" s="24" t="n">
        <v>0.08</v>
      </c>
      <c r="M75" s="25">
        <f>I75*Resumo!$C$6</f>
        <v/>
      </c>
      <c r="N75" s="25">
        <f>IF(I75&gt;0,Resumo!$C$7,0)</f>
        <v/>
      </c>
      <c r="O75" s="25">
        <f>M75+N75</f>
        <v/>
      </c>
      <c r="P75" s="21" t="n">
        <v>14</v>
      </c>
      <c r="Q75" s="25" t="n">
        <v>1283.29</v>
      </c>
      <c r="R75" s="25" t="n">
        <v>58.76</v>
      </c>
      <c r="S75" s="25">
        <f>Q75*Resumo!$C$8</f>
        <v/>
      </c>
      <c r="T75" s="25">
        <f>S75-R75-O75</f>
        <v/>
      </c>
      <c r="U75" s="26">
        <f>IF(O75&gt;0,Q75/O75,0)</f>
        <v/>
      </c>
      <c r="V75" s="24">
        <f>IF(O75&gt;0,T75/O75,0)</f>
        <v/>
      </c>
    </row>
    <row r="76">
      <c r="A76" s="15" t="n">
        <v>75</v>
      </c>
      <c r="B76" s="16" t="inlineStr">
        <is>
          <t>Lari • Shop Creator</t>
        </is>
      </c>
      <c r="C76" s="16" t="inlineStr">
        <is>
          <t>@larisshopcreator</t>
        </is>
      </c>
      <c r="D76" s="17" t="inlineStr">
        <is>
          <t>Enviado</t>
        </is>
      </c>
      <c r="E76" s="15" t="inlineStr">
        <is>
          <t>2026-02</t>
        </is>
      </c>
      <c r="F76" s="15" t="inlineStr">
        <is>
          <t>2026-02-02</t>
        </is>
      </c>
      <c r="G76" s="15" t="inlineStr">
        <is>
          <t>2026-02-02</t>
        </is>
      </c>
      <c r="H76" s="15" t="n">
        <v>1</v>
      </c>
      <c r="I76" s="15" t="n">
        <v>1</v>
      </c>
      <c r="J76" s="15" t="n">
        <v>0</v>
      </c>
      <c r="K76" s="15" t="n">
        <v>1</v>
      </c>
      <c r="L76" s="18" t="n">
        <v>0.08</v>
      </c>
      <c r="M76" s="19">
        <f>I76*Resumo!$C$6</f>
        <v/>
      </c>
      <c r="N76" s="19">
        <f>IF(I76&gt;0,Resumo!$C$7,0)</f>
        <v/>
      </c>
      <c r="O76" s="19">
        <f>M76+N76</f>
        <v/>
      </c>
      <c r="P76" s="15" t="n">
        <v>8</v>
      </c>
      <c r="Q76" s="19" t="n">
        <v>659.2</v>
      </c>
      <c r="R76" s="19" t="n">
        <v>63.92</v>
      </c>
      <c r="S76" s="19">
        <f>Q76*Resumo!$C$8</f>
        <v/>
      </c>
      <c r="T76" s="19">
        <f>S76-R76-O76</f>
        <v/>
      </c>
      <c r="U76" s="20">
        <f>IF(O76&gt;0,Q76/O76,0)</f>
        <v/>
      </c>
      <c r="V76" s="18">
        <f>IF(O76&gt;0,T76/O76,0)</f>
        <v/>
      </c>
    </row>
    <row r="77">
      <c r="A77" s="21" t="n">
        <v>76</v>
      </c>
      <c r="B77" s="22" t="inlineStr">
        <is>
          <t>COISAS DA LU</t>
        </is>
      </c>
      <c r="C77" s="22" t="inlineStr">
        <is>
          <t>@lu_dias10</t>
        </is>
      </c>
      <c r="D77" s="23" t="inlineStr">
        <is>
          <t>Enviado</t>
        </is>
      </c>
      <c r="E77" s="21" t="inlineStr">
        <is>
          <t>2026-02</t>
        </is>
      </c>
      <c r="F77" s="21" t="inlineStr">
        <is>
          <t>2026-02-02</t>
        </is>
      </c>
      <c r="G77" s="21" t="inlineStr">
        <is>
          <t>2026-02-02</t>
        </is>
      </c>
      <c r="H77" s="21" t="n">
        <v>4</v>
      </c>
      <c r="I77" s="21" t="n">
        <v>4</v>
      </c>
      <c r="J77" s="21" t="n">
        <v>0</v>
      </c>
      <c r="K77" s="21" t="n">
        <v>4</v>
      </c>
      <c r="L77" s="24" t="n">
        <v>0.08</v>
      </c>
      <c r="M77" s="25">
        <f>I77*Resumo!$C$6</f>
        <v/>
      </c>
      <c r="N77" s="25">
        <f>IF(I77&gt;0,Resumo!$C$7,0)</f>
        <v/>
      </c>
      <c r="O77" s="25">
        <f>M77+N77</f>
        <v/>
      </c>
      <c r="P77" s="21" t="n">
        <v>6</v>
      </c>
      <c r="Q77" s="25" t="n">
        <v>504.64</v>
      </c>
      <c r="R77" s="25" t="n">
        <v>51.32</v>
      </c>
      <c r="S77" s="25">
        <f>Q77*Resumo!$C$8</f>
        <v/>
      </c>
      <c r="T77" s="25">
        <f>S77-R77-O77</f>
        <v/>
      </c>
      <c r="U77" s="26">
        <f>IF(O77&gt;0,Q77/O77,0)</f>
        <v/>
      </c>
      <c r="V77" s="24">
        <f>IF(O77&gt;0,T77/O77,0)</f>
        <v/>
      </c>
    </row>
    <row r="78">
      <c r="A78" s="15" t="n">
        <v>77</v>
      </c>
      <c r="B78" s="16" t="inlineStr">
        <is>
          <t>Carol Narizinho</t>
        </is>
      </c>
      <c r="C78" s="16" t="inlineStr">
        <is>
          <t>@carolnarizinho</t>
        </is>
      </c>
      <c r="D78" s="17" t="inlineStr">
        <is>
          <t>Enviado</t>
        </is>
      </c>
      <c r="E78" s="15" t="inlineStr">
        <is>
          <t>2026-02</t>
        </is>
      </c>
      <c r="F78" s="15" t="inlineStr">
        <is>
          <t>2026-02-02</t>
        </is>
      </c>
      <c r="G78" s="15" t="inlineStr">
        <is>
          <t>2026-02-02</t>
        </is>
      </c>
      <c r="H78" s="15" t="n">
        <v>1</v>
      </c>
      <c r="I78" s="15" t="n">
        <v>1</v>
      </c>
      <c r="J78" s="15" t="n">
        <v>0</v>
      </c>
      <c r="K78" s="15" t="n">
        <v>1</v>
      </c>
      <c r="L78" s="18" t="n">
        <v>0.08</v>
      </c>
      <c r="M78" s="19">
        <f>I78*Resumo!$C$6</f>
        <v/>
      </c>
      <c r="N78" s="19">
        <f>IF(I78&gt;0,Resumo!$C$7,0)</f>
        <v/>
      </c>
      <c r="O78" s="19">
        <f>M78+N78</f>
        <v/>
      </c>
      <c r="P78" s="15" t="n">
        <v>1</v>
      </c>
      <c r="Q78" s="19" t="n">
        <v>79.90000000000001</v>
      </c>
      <c r="R78" s="19" t="n">
        <v>7.99</v>
      </c>
      <c r="S78" s="19">
        <f>Q78*Resumo!$C$8</f>
        <v/>
      </c>
      <c r="T78" s="19">
        <f>S78-R78-O78</f>
        <v/>
      </c>
      <c r="U78" s="20">
        <f>IF(O78&gt;0,Q78/O78,0)</f>
        <v/>
      </c>
      <c r="V78" s="18">
        <f>IF(O78&gt;0,T78/O78,0)</f>
        <v/>
      </c>
    </row>
    <row r="79">
      <c r="A79" s="21" t="n">
        <v>78</v>
      </c>
      <c r="B79" s="22" t="inlineStr">
        <is>
          <t>Francine Foss</t>
        </is>
      </c>
      <c r="C79" s="22" t="inlineStr">
        <is>
          <t>@francinefosss</t>
        </is>
      </c>
      <c r="D79" s="23" t="inlineStr">
        <is>
          <t>Enviado</t>
        </is>
      </c>
      <c r="E79" s="21" t="inlineStr">
        <is>
          <t>2026-02</t>
        </is>
      </c>
      <c r="F79" s="21" t="inlineStr">
        <is>
          <t>2026-02-03</t>
        </is>
      </c>
      <c r="G79" s="21" t="inlineStr">
        <is>
          <t>2026-02-03</t>
        </is>
      </c>
      <c r="H79" s="21" t="n">
        <v>1</v>
      </c>
      <c r="I79" s="21" t="n">
        <v>1</v>
      </c>
      <c r="J79" s="21" t="n">
        <v>0</v>
      </c>
      <c r="K79" s="21" t="n">
        <v>1</v>
      </c>
      <c r="L79" s="24" t="n">
        <v>0.08</v>
      </c>
      <c r="M79" s="25">
        <f>I79*Resumo!$C$6</f>
        <v/>
      </c>
      <c r="N79" s="25">
        <f>IF(I79&gt;0,Resumo!$C$7,0)</f>
        <v/>
      </c>
      <c r="O79" s="25">
        <f>M79+N79</f>
        <v/>
      </c>
      <c r="P79" s="21" t="n">
        <v>6</v>
      </c>
      <c r="Q79" s="25" t="n">
        <v>479.4</v>
      </c>
      <c r="R79" s="25" t="n">
        <v>47.94</v>
      </c>
      <c r="S79" s="25">
        <f>Q79*Resumo!$C$8</f>
        <v/>
      </c>
      <c r="T79" s="25">
        <f>S79-R79-O79</f>
        <v/>
      </c>
      <c r="U79" s="26">
        <f>IF(O79&gt;0,Q79/O79,0)</f>
        <v/>
      </c>
      <c r="V79" s="24">
        <f>IF(O79&gt;0,T79/O79,0)</f>
        <v/>
      </c>
    </row>
    <row r="80">
      <c r="A80" s="15" t="n">
        <v>79</v>
      </c>
      <c r="B80" s="16" t="inlineStr">
        <is>
          <t>Thami Brambilla</t>
        </is>
      </c>
      <c r="C80" s="16" t="inlineStr">
        <is>
          <t>@thami.brambilla</t>
        </is>
      </c>
      <c r="D80" s="17" t="inlineStr">
        <is>
          <t>Enviado</t>
        </is>
      </c>
      <c r="E80" s="15" t="inlineStr">
        <is>
          <t>2026-02</t>
        </is>
      </c>
      <c r="F80" s="15" t="inlineStr">
        <is>
          <t>2026-02-05</t>
        </is>
      </c>
      <c r="G80" s="15" t="inlineStr">
        <is>
          <t>2026-02-05</t>
        </is>
      </c>
      <c r="H80" s="15" t="n">
        <v>2</v>
      </c>
      <c r="I80" s="15" t="n">
        <v>2</v>
      </c>
      <c r="J80" s="15" t="n">
        <v>0</v>
      </c>
      <c r="K80" s="15" t="n">
        <v>2</v>
      </c>
      <c r="L80" s="18" t="n">
        <v>0.12</v>
      </c>
      <c r="M80" s="19">
        <f>I80*Resumo!$C$6</f>
        <v/>
      </c>
      <c r="N80" s="19">
        <f>IF(I80&gt;0,Resumo!$C$7,0)</f>
        <v/>
      </c>
      <c r="O80" s="19">
        <f>M80+N80</f>
        <v/>
      </c>
      <c r="P80" s="15" t="n">
        <v>169</v>
      </c>
      <c r="Q80" s="19" t="n">
        <v>14634.75</v>
      </c>
      <c r="R80" s="19" t="n">
        <v>1092.81</v>
      </c>
      <c r="S80" s="19">
        <f>Q80*Resumo!$C$8</f>
        <v/>
      </c>
      <c r="T80" s="19">
        <f>S80-R80-O80</f>
        <v/>
      </c>
      <c r="U80" s="20">
        <f>IF(O80&gt;0,Q80/O80,0)</f>
        <v/>
      </c>
      <c r="V80" s="18">
        <f>IF(O80&gt;0,T80/O80,0)</f>
        <v/>
      </c>
    </row>
    <row r="81">
      <c r="A81" s="27" t="n">
        <v>80</v>
      </c>
      <c r="B81" s="28" t="inlineStr">
        <is>
          <t>Danibueno</t>
        </is>
      </c>
      <c r="C81" s="28" t="inlineStr">
        <is>
          <t>@danielabuenoj</t>
        </is>
      </c>
      <c r="D81" s="29" t="inlineStr">
        <is>
          <t>Nada enviado</t>
        </is>
      </c>
      <c r="E81" s="27" t="inlineStr">
        <is>
          <t>2026-02</t>
        </is>
      </c>
      <c r="F81" s="27" t="inlineStr">
        <is>
          <t>2026-02-05</t>
        </is>
      </c>
      <c r="G81" s="27" t="inlineStr">
        <is>
          <t>2026-02-05</t>
        </is>
      </c>
      <c r="H81" s="27" t="n">
        <v>1</v>
      </c>
      <c r="I81" s="27" t="n">
        <v>0</v>
      </c>
      <c r="J81" s="27" t="n">
        <v>1</v>
      </c>
      <c r="K81" s="27" t="n">
        <v>1</v>
      </c>
      <c r="L81" s="30" t="n">
        <v>0.08</v>
      </c>
      <c r="M81" s="31">
        <f>I81*Resumo!$C$6</f>
        <v/>
      </c>
      <c r="N81" s="31">
        <f>IF(I81&gt;0,Resumo!$C$7,0)</f>
        <v/>
      </c>
      <c r="O81" s="31">
        <f>M81+N81</f>
        <v/>
      </c>
      <c r="P81" s="27" t="n">
        <v>1</v>
      </c>
      <c r="Q81" s="31" t="n">
        <v>99.90000000000001</v>
      </c>
      <c r="R81" s="31" t="n">
        <v>7.99</v>
      </c>
      <c r="S81" s="31">
        <f>Q81*Resumo!$C$8</f>
        <v/>
      </c>
      <c r="T81" s="31">
        <f>S81-R81-O81</f>
        <v/>
      </c>
      <c r="U81" s="32">
        <f>IF(O81&gt;0,Q81/O81,0)</f>
        <v/>
      </c>
      <c r="V81" s="30">
        <f>IF(O81&gt;0,T81/O81,0)</f>
        <v/>
      </c>
    </row>
    <row r="82">
      <c r="A82" s="15" t="n">
        <v>81</v>
      </c>
      <c r="B82" s="16" t="inlineStr">
        <is>
          <t>julianatenoriop</t>
        </is>
      </c>
      <c r="C82" s="16" t="inlineStr">
        <is>
          <t>@julianatenoriop</t>
        </is>
      </c>
      <c r="D82" s="17" t="inlineStr">
        <is>
          <t>Enviado</t>
        </is>
      </c>
      <c r="E82" s="15" t="inlineStr">
        <is>
          <t>2026-02</t>
        </is>
      </c>
      <c r="F82" s="15" t="inlineStr">
        <is>
          <t>2026-02-05</t>
        </is>
      </c>
      <c r="G82" s="15" t="inlineStr">
        <is>
          <t>2026-02-05</t>
        </is>
      </c>
      <c r="H82" s="15" t="n">
        <v>1</v>
      </c>
      <c r="I82" s="15" t="n">
        <v>1</v>
      </c>
      <c r="J82" s="15" t="n">
        <v>0</v>
      </c>
      <c r="K82" s="15" t="n">
        <v>1</v>
      </c>
      <c r="L82" s="18" t="n">
        <v>0.08</v>
      </c>
      <c r="M82" s="19">
        <f>I82*Resumo!$C$6</f>
        <v/>
      </c>
      <c r="N82" s="19">
        <f>IF(I82&gt;0,Resumo!$C$7,0)</f>
        <v/>
      </c>
      <c r="O82" s="19">
        <f>M82+N82</f>
        <v/>
      </c>
      <c r="P82" s="15" t="n">
        <v>1</v>
      </c>
      <c r="Q82" s="19" t="n">
        <v>79.90000000000001</v>
      </c>
      <c r="R82" s="19" t="n">
        <v>7.99</v>
      </c>
      <c r="S82" s="19">
        <f>Q82*Resumo!$C$8</f>
        <v/>
      </c>
      <c r="T82" s="19">
        <f>S82-R82-O82</f>
        <v/>
      </c>
      <c r="U82" s="20">
        <f>IF(O82&gt;0,Q82/O82,0)</f>
        <v/>
      </c>
      <c r="V82" s="18">
        <f>IF(O82&gt;0,T82/O82,0)</f>
        <v/>
      </c>
    </row>
    <row r="83">
      <c r="A83" s="21" t="n">
        <v>82</v>
      </c>
      <c r="B83" s="22" t="inlineStr">
        <is>
          <t>Anna Bastos</t>
        </is>
      </c>
      <c r="C83" s="22" t="inlineStr">
        <is>
          <t>@bastossanna</t>
        </is>
      </c>
      <c r="D83" s="23" t="inlineStr">
        <is>
          <t>Enviado</t>
        </is>
      </c>
      <c r="E83" s="21" t="inlineStr">
        <is>
          <t>2026-02</t>
        </is>
      </c>
      <c r="F83" s="21" t="inlineStr">
        <is>
          <t>2026-02-07</t>
        </is>
      </c>
      <c r="G83" s="21" t="inlineStr">
        <is>
          <t>2026-02-07</t>
        </is>
      </c>
      <c r="H83" s="21" t="n">
        <v>1</v>
      </c>
      <c r="I83" s="21" t="n">
        <v>1</v>
      </c>
      <c r="J83" s="21" t="n">
        <v>0</v>
      </c>
      <c r="K83" s="21" t="n">
        <v>1</v>
      </c>
      <c r="L83" s="24" t="n">
        <v>0.08</v>
      </c>
      <c r="M83" s="25">
        <f>I83*Resumo!$C$6</f>
        <v/>
      </c>
      <c r="N83" s="25">
        <f>IF(I83&gt;0,Resumo!$C$7,0)</f>
        <v/>
      </c>
      <c r="O83" s="25">
        <f>M83+N83</f>
        <v/>
      </c>
      <c r="P83" s="21" t="n">
        <v>0</v>
      </c>
      <c r="Q83" s="25" t="n">
        <v>0</v>
      </c>
      <c r="R83" s="25" t="n">
        <v>0</v>
      </c>
      <c r="S83" s="25">
        <f>Q83*Resumo!$C$8</f>
        <v/>
      </c>
      <c r="T83" s="25">
        <f>S83-R83-O83</f>
        <v/>
      </c>
      <c r="U83" s="26">
        <f>IF(O83&gt;0,Q83/O83,0)</f>
        <v/>
      </c>
      <c r="V83" s="24">
        <f>IF(O83&gt;0,T83/O83,0)</f>
        <v/>
      </c>
    </row>
    <row r="84">
      <c r="A84" s="27" t="n">
        <v>83</v>
      </c>
      <c r="B84" s="28" t="inlineStr">
        <is>
          <t>Cris Shop Creator</t>
        </is>
      </c>
      <c r="C84" s="28" t="inlineStr">
        <is>
          <t>@cris.shopcreator</t>
        </is>
      </c>
      <c r="D84" s="29" t="inlineStr">
        <is>
          <t>Nada enviado</t>
        </is>
      </c>
      <c r="E84" s="27" t="inlineStr">
        <is>
          <t>2026-02</t>
        </is>
      </c>
      <c r="F84" s="27" t="inlineStr">
        <is>
          <t>2026-02-07</t>
        </is>
      </c>
      <c r="G84" s="27" t="inlineStr">
        <is>
          <t>2026-02-07</t>
        </is>
      </c>
      <c r="H84" s="27" t="n">
        <v>1</v>
      </c>
      <c r="I84" s="27" t="n">
        <v>0</v>
      </c>
      <c r="J84" s="27" t="n">
        <v>1</v>
      </c>
      <c r="K84" s="27" t="n">
        <v>1</v>
      </c>
      <c r="L84" s="30" t="n">
        <v>0.08</v>
      </c>
      <c r="M84" s="31">
        <f>I84*Resumo!$C$6</f>
        <v/>
      </c>
      <c r="N84" s="31">
        <f>IF(I84&gt;0,Resumo!$C$7,0)</f>
        <v/>
      </c>
      <c r="O84" s="31">
        <f>M84+N84</f>
        <v/>
      </c>
      <c r="P84" s="27" t="n">
        <v>0</v>
      </c>
      <c r="Q84" s="31" t="n">
        <v>0</v>
      </c>
      <c r="R84" s="31" t="n">
        <v>0</v>
      </c>
      <c r="S84" s="31">
        <f>Q84*Resumo!$C$8</f>
        <v/>
      </c>
      <c r="T84" s="31">
        <f>S84-R84-O84</f>
        <v/>
      </c>
      <c r="U84" s="32">
        <f>IF(O84&gt;0,Q84/O84,0)</f>
        <v/>
      </c>
      <c r="V84" s="30">
        <f>IF(O84&gt;0,T84/O84,0)</f>
        <v/>
      </c>
    </row>
    <row r="85">
      <c r="A85" s="21" t="n">
        <v>84</v>
      </c>
      <c r="B85" s="22" t="inlineStr">
        <is>
          <t>Joyce Yas</t>
        </is>
      </c>
      <c r="C85" s="22" t="inlineStr">
        <is>
          <t>@joyce_indicaa</t>
        </is>
      </c>
      <c r="D85" s="23" t="inlineStr">
        <is>
          <t>Enviado</t>
        </is>
      </c>
      <c r="E85" s="21" t="inlineStr">
        <is>
          <t>2026-02</t>
        </is>
      </c>
      <c r="F85" s="21" t="inlineStr">
        <is>
          <t>2026-02-07</t>
        </is>
      </c>
      <c r="G85" s="21" t="inlineStr">
        <is>
          <t>2026-02-07</t>
        </is>
      </c>
      <c r="H85" s="21" t="n">
        <v>1</v>
      </c>
      <c r="I85" s="21" t="n">
        <v>1</v>
      </c>
      <c r="J85" s="21" t="n">
        <v>0</v>
      </c>
      <c r="K85" s="21" t="n">
        <v>1</v>
      </c>
      <c r="L85" s="24" t="n">
        <v>0.08</v>
      </c>
      <c r="M85" s="25">
        <f>I85*Resumo!$C$6</f>
        <v/>
      </c>
      <c r="N85" s="25">
        <f>IF(I85&gt;0,Resumo!$C$7,0)</f>
        <v/>
      </c>
      <c r="O85" s="25">
        <f>M85+N85</f>
        <v/>
      </c>
      <c r="P85" s="21" t="n">
        <v>0</v>
      </c>
      <c r="Q85" s="25" t="n">
        <v>0</v>
      </c>
      <c r="R85" s="25" t="n">
        <v>0</v>
      </c>
      <c r="S85" s="25">
        <f>Q85*Resumo!$C$8</f>
        <v/>
      </c>
      <c r="T85" s="25">
        <f>S85-R85-O85</f>
        <v/>
      </c>
      <c r="U85" s="26">
        <f>IF(O85&gt;0,Q85/O85,0)</f>
        <v/>
      </c>
      <c r="V85" s="24">
        <f>IF(O85&gt;0,T85/O85,0)</f>
        <v/>
      </c>
    </row>
    <row r="86">
      <c r="A86" s="15" t="n">
        <v>85</v>
      </c>
      <c r="B86" s="16" t="inlineStr">
        <is>
          <t>Taciane | Shop Creator</t>
        </is>
      </c>
      <c r="C86" s="16" t="inlineStr">
        <is>
          <t>@tacianecreator</t>
        </is>
      </c>
      <c r="D86" s="17" t="inlineStr">
        <is>
          <t>Enviado</t>
        </is>
      </c>
      <c r="E86" s="15" t="inlineStr">
        <is>
          <t>2026-02</t>
        </is>
      </c>
      <c r="F86" s="15" t="inlineStr">
        <is>
          <t>2026-02-09</t>
        </is>
      </c>
      <c r="G86" s="15" t="inlineStr">
        <is>
          <t>2026-02-09</t>
        </is>
      </c>
      <c r="H86" s="15" t="n">
        <v>1</v>
      </c>
      <c r="I86" s="15" t="n">
        <v>1</v>
      </c>
      <c r="J86" s="15" t="n">
        <v>0</v>
      </c>
      <c r="K86" s="15" t="n">
        <v>1</v>
      </c>
      <c r="L86" s="18" t="n">
        <v>0.08</v>
      </c>
      <c r="M86" s="19">
        <f>I86*Resumo!$C$6</f>
        <v/>
      </c>
      <c r="N86" s="19">
        <f>IF(I86&gt;0,Resumo!$C$7,0)</f>
        <v/>
      </c>
      <c r="O86" s="19">
        <f>M86+N86</f>
        <v/>
      </c>
      <c r="P86" s="15" t="n">
        <v>2519</v>
      </c>
      <c r="Q86" s="19" t="n">
        <v>203984.52</v>
      </c>
      <c r="R86" s="19" t="n">
        <v>12341.53</v>
      </c>
      <c r="S86" s="19">
        <f>Q86*Resumo!$C$8</f>
        <v/>
      </c>
      <c r="T86" s="19">
        <f>S86-R86-O86</f>
        <v/>
      </c>
      <c r="U86" s="20">
        <f>IF(O86&gt;0,Q86/O86,0)</f>
        <v/>
      </c>
      <c r="V86" s="18">
        <f>IF(O86&gt;0,T86/O86,0)</f>
        <v/>
      </c>
    </row>
    <row r="87">
      <c r="A87" s="21" t="n">
        <v>86</v>
      </c>
      <c r="B87" s="22" t="inlineStr">
        <is>
          <t>lyn✨</t>
        </is>
      </c>
      <c r="C87" s="22" t="inlineStr">
        <is>
          <t>@lyn.jiayi</t>
        </is>
      </c>
      <c r="D87" s="23" t="inlineStr">
        <is>
          <t>Enviado</t>
        </is>
      </c>
      <c r="E87" s="21" t="inlineStr">
        <is>
          <t>2026-02</t>
        </is>
      </c>
      <c r="F87" s="21" t="inlineStr">
        <is>
          <t>2026-02-09</t>
        </is>
      </c>
      <c r="G87" s="21" t="inlineStr">
        <is>
          <t>2026-02-09</t>
        </is>
      </c>
      <c r="H87" s="21" t="n">
        <v>2</v>
      </c>
      <c r="I87" s="21" t="n">
        <v>2</v>
      </c>
      <c r="J87" s="21" t="n">
        <v>0</v>
      </c>
      <c r="K87" s="21" t="n">
        <v>2</v>
      </c>
      <c r="L87" s="24" t="n">
        <v>0.08</v>
      </c>
      <c r="M87" s="25">
        <f>I87*Resumo!$C$6</f>
        <v/>
      </c>
      <c r="N87" s="25">
        <f>IF(I87&gt;0,Resumo!$C$7,0)</f>
        <v/>
      </c>
      <c r="O87" s="25">
        <f>M87+N87</f>
        <v/>
      </c>
      <c r="P87" s="21" t="n">
        <v>1</v>
      </c>
      <c r="Q87" s="25" t="n">
        <v>99.90000000000001</v>
      </c>
      <c r="R87" s="25" t="n">
        <v>7.99</v>
      </c>
      <c r="S87" s="25">
        <f>Q87*Resumo!$C$8</f>
        <v/>
      </c>
      <c r="T87" s="25">
        <f>S87-R87-O87</f>
        <v/>
      </c>
      <c r="U87" s="26">
        <f>IF(O87&gt;0,Q87/O87,0)</f>
        <v/>
      </c>
      <c r="V87" s="24">
        <f>IF(O87&gt;0,T87/O87,0)</f>
        <v/>
      </c>
    </row>
    <row r="88">
      <c r="A88" s="27" t="n">
        <v>87</v>
      </c>
      <c r="B88" s="28" t="inlineStr">
        <is>
          <t>Blehh</t>
        </is>
      </c>
      <c r="C88" s="28" t="inlineStr">
        <is>
          <t>@someoneduda</t>
        </is>
      </c>
      <c r="D88" s="29" t="inlineStr">
        <is>
          <t>Nada enviado</t>
        </is>
      </c>
      <c r="E88" s="27" t="inlineStr">
        <is>
          <t>2026-02</t>
        </is>
      </c>
      <c r="F88" s="27" t="inlineStr">
        <is>
          <t>2026-02-11</t>
        </is>
      </c>
      <c r="G88" s="27" t="inlineStr">
        <is>
          <t>2026-02-11</t>
        </is>
      </c>
      <c r="H88" s="27" t="n">
        <v>1</v>
      </c>
      <c r="I88" s="27" t="n">
        <v>0</v>
      </c>
      <c r="J88" s="27" t="n">
        <v>1</v>
      </c>
      <c r="K88" s="27" t="n">
        <v>1</v>
      </c>
      <c r="L88" s="30" t="n">
        <v>0.08</v>
      </c>
      <c r="M88" s="31">
        <f>I88*Resumo!$C$6</f>
        <v/>
      </c>
      <c r="N88" s="31">
        <f>IF(I88&gt;0,Resumo!$C$7,0)</f>
        <v/>
      </c>
      <c r="O88" s="31">
        <f>M88+N88</f>
        <v/>
      </c>
      <c r="P88" s="27" t="n">
        <v>0</v>
      </c>
      <c r="Q88" s="31" t="n">
        <v>0</v>
      </c>
      <c r="R88" s="31" t="n">
        <v>0</v>
      </c>
      <c r="S88" s="31">
        <f>Q88*Resumo!$C$8</f>
        <v/>
      </c>
      <c r="T88" s="31">
        <f>S88-R88-O88</f>
        <v/>
      </c>
      <c r="U88" s="32">
        <f>IF(O88&gt;0,Q88/O88,0)</f>
        <v/>
      </c>
      <c r="V88" s="30">
        <f>IF(O88&gt;0,T88/O88,0)</f>
        <v/>
      </c>
    </row>
    <row r="89">
      <c r="A89" s="21" t="n">
        <v>88</v>
      </c>
      <c r="B89" s="22" t="inlineStr">
        <is>
          <t>Yasmin Oliveira</t>
        </is>
      </c>
      <c r="C89" s="22" t="inlineStr">
        <is>
          <t>@yasmin.aoliveira</t>
        </is>
      </c>
      <c r="D89" s="23" t="inlineStr">
        <is>
          <t>Enviado</t>
        </is>
      </c>
      <c r="E89" s="21" t="inlineStr">
        <is>
          <t>2026-02</t>
        </is>
      </c>
      <c r="F89" s="21" t="inlineStr">
        <is>
          <t>2026-02-23</t>
        </is>
      </c>
      <c r="G89" s="21" t="inlineStr">
        <is>
          <t>2026-02-23</t>
        </is>
      </c>
      <c r="H89" s="21" t="n">
        <v>2</v>
      </c>
      <c r="I89" s="21" t="n">
        <v>2</v>
      </c>
      <c r="J89" s="21" t="n">
        <v>0</v>
      </c>
      <c r="K89" s="21" t="n">
        <v>2</v>
      </c>
      <c r="L89" s="24" t="n">
        <v>0.08</v>
      </c>
      <c r="M89" s="25">
        <f>I89*Resumo!$C$6</f>
        <v/>
      </c>
      <c r="N89" s="25">
        <f>IF(I89&gt;0,Resumo!$C$7,0)</f>
        <v/>
      </c>
      <c r="O89" s="25">
        <f>M89+N89</f>
        <v/>
      </c>
      <c r="P89" s="21" t="n">
        <v>71</v>
      </c>
      <c r="Q89" s="25" t="n">
        <v>7042.84</v>
      </c>
      <c r="R89" s="25" t="n">
        <v>369.95</v>
      </c>
      <c r="S89" s="25">
        <f>Q89*Resumo!$C$8</f>
        <v/>
      </c>
      <c r="T89" s="25">
        <f>S89-R89-O89</f>
        <v/>
      </c>
      <c r="U89" s="26">
        <f>IF(O89&gt;0,Q89/O89,0)</f>
        <v/>
      </c>
      <c r="V89" s="24">
        <f>IF(O89&gt;0,T89/O89,0)</f>
        <v/>
      </c>
    </row>
    <row r="90">
      <c r="A90" s="15" t="n">
        <v>89</v>
      </c>
      <c r="B90" s="16" t="inlineStr">
        <is>
          <t>Sil Santiago</t>
        </is>
      </c>
      <c r="C90" s="16" t="inlineStr">
        <is>
          <t>@silsantiagotrc</t>
        </is>
      </c>
      <c r="D90" s="17" t="inlineStr">
        <is>
          <t>Enviado</t>
        </is>
      </c>
      <c r="E90" s="15" t="inlineStr">
        <is>
          <t>2026-02</t>
        </is>
      </c>
      <c r="F90" s="15" t="inlineStr">
        <is>
          <t>2026-02-24</t>
        </is>
      </c>
      <c r="G90" s="15" t="inlineStr">
        <is>
          <t>2026-02-24</t>
        </is>
      </c>
      <c r="H90" s="15" t="n">
        <v>1</v>
      </c>
      <c r="I90" s="15" t="n">
        <v>1</v>
      </c>
      <c r="J90" s="15" t="n">
        <v>0</v>
      </c>
      <c r="K90" s="15" t="n">
        <v>1</v>
      </c>
      <c r="L90" s="18" t="n">
        <v>0.08</v>
      </c>
      <c r="M90" s="19">
        <f>I90*Resumo!$C$6</f>
        <v/>
      </c>
      <c r="N90" s="19">
        <f>IF(I90&gt;0,Resumo!$C$7,0)</f>
        <v/>
      </c>
      <c r="O90" s="19">
        <f>M90+N90</f>
        <v/>
      </c>
      <c r="P90" s="15" t="n">
        <v>130</v>
      </c>
      <c r="Q90" s="19" t="n">
        <v>11382.57</v>
      </c>
      <c r="R90" s="19" t="n">
        <v>1032.94</v>
      </c>
      <c r="S90" s="19">
        <f>Q90*Resumo!$C$8</f>
        <v/>
      </c>
      <c r="T90" s="19">
        <f>S90-R90-O90</f>
        <v/>
      </c>
      <c r="U90" s="20">
        <f>IF(O90&gt;0,Q90/O90,0)</f>
        <v/>
      </c>
      <c r="V90" s="18">
        <f>IF(O90&gt;0,T90/O90,0)</f>
        <v/>
      </c>
    </row>
    <row r="91">
      <c r="A91" s="21" t="n">
        <v>90</v>
      </c>
      <c r="B91" s="22" t="inlineStr">
        <is>
          <t>Mari Araújo</t>
        </is>
      </c>
      <c r="C91" s="22" t="inlineStr">
        <is>
          <t>@maritips_</t>
        </is>
      </c>
      <c r="D91" s="23" t="inlineStr">
        <is>
          <t>Enviado</t>
        </is>
      </c>
      <c r="E91" s="21" t="inlineStr">
        <is>
          <t>2026-02</t>
        </is>
      </c>
      <c r="F91" s="21" t="inlineStr">
        <is>
          <t>2026-02-24</t>
        </is>
      </c>
      <c r="G91" s="21" t="inlineStr">
        <is>
          <t>2026-02-24</t>
        </is>
      </c>
      <c r="H91" s="21" t="n">
        <v>2</v>
      </c>
      <c r="I91" s="21" t="n">
        <v>2</v>
      </c>
      <c r="J91" s="21" t="n">
        <v>0</v>
      </c>
      <c r="K91" s="21" t="n">
        <v>2</v>
      </c>
      <c r="L91" s="24" t="n">
        <v>0.08</v>
      </c>
      <c r="M91" s="25">
        <f>I91*Resumo!$C$6</f>
        <v/>
      </c>
      <c r="N91" s="25">
        <f>IF(I91&gt;0,Resumo!$C$7,0)</f>
        <v/>
      </c>
      <c r="O91" s="25">
        <f>M91+N91</f>
        <v/>
      </c>
      <c r="P91" s="21" t="n">
        <v>130</v>
      </c>
      <c r="Q91" s="25" t="n">
        <v>10831.57</v>
      </c>
      <c r="R91" s="25" t="n">
        <v>951.3200000000001</v>
      </c>
      <c r="S91" s="25">
        <f>Q91*Resumo!$C$8</f>
        <v/>
      </c>
      <c r="T91" s="25">
        <f>S91-R91-O91</f>
        <v/>
      </c>
      <c r="U91" s="26">
        <f>IF(O91&gt;0,Q91/O91,0)</f>
        <v/>
      </c>
      <c r="V91" s="24">
        <f>IF(O91&gt;0,T91/O91,0)</f>
        <v/>
      </c>
    </row>
    <row r="92">
      <c r="A92" s="27" t="n">
        <v>91</v>
      </c>
      <c r="B92" s="28" t="inlineStr">
        <is>
          <t>Gabriela Freitas</t>
        </is>
      </c>
      <c r="C92" s="28" t="inlineStr">
        <is>
          <t>@gabrielaf011</t>
        </is>
      </c>
      <c r="D92" s="29" t="inlineStr">
        <is>
          <t>Nada enviado</t>
        </is>
      </c>
      <c r="E92" s="27" t="inlineStr">
        <is>
          <t>2026-02</t>
        </is>
      </c>
      <c r="F92" s="27" t="inlineStr">
        <is>
          <t>2026-02-24</t>
        </is>
      </c>
      <c r="G92" s="27" t="inlineStr">
        <is>
          <t>2026-02-24</t>
        </is>
      </c>
      <c r="H92" s="27" t="n">
        <v>2</v>
      </c>
      <c r="I92" s="27" t="n">
        <v>0</v>
      </c>
      <c r="J92" s="27" t="n">
        <v>2</v>
      </c>
      <c r="K92" s="27" t="n">
        <v>2</v>
      </c>
      <c r="L92" s="30" t="n">
        <v>0.08</v>
      </c>
      <c r="M92" s="31">
        <f>I92*Resumo!$C$6</f>
        <v/>
      </c>
      <c r="N92" s="31">
        <f>IF(I92&gt;0,Resumo!$C$7,0)</f>
        <v/>
      </c>
      <c r="O92" s="31">
        <f>M92+N92</f>
        <v/>
      </c>
      <c r="P92" s="27" t="n">
        <v>12</v>
      </c>
      <c r="Q92" s="31" t="n">
        <v>1253.87</v>
      </c>
      <c r="R92" s="31" t="n">
        <v>125.4</v>
      </c>
      <c r="S92" s="31">
        <f>Q92*Resumo!$C$8</f>
        <v/>
      </c>
      <c r="T92" s="31">
        <f>S92-R92-O92</f>
        <v/>
      </c>
      <c r="U92" s="32">
        <f>IF(O92&gt;0,Q92/O92,0)</f>
        <v/>
      </c>
      <c r="V92" s="30">
        <f>IF(O92&gt;0,T92/O92,0)</f>
        <v/>
      </c>
    </row>
    <row r="93">
      <c r="A93" s="21" t="n">
        <v>92</v>
      </c>
      <c r="B93" s="22" t="inlineStr">
        <is>
          <t>Maria Eduarda | Creator</t>
        </is>
      </c>
      <c r="C93" s="22" t="inlineStr">
        <is>
          <t>@mariaeduardakguilherme</t>
        </is>
      </c>
      <c r="D93" s="23" t="inlineStr">
        <is>
          <t>Enviado</t>
        </is>
      </c>
      <c r="E93" s="21" t="inlineStr">
        <is>
          <t>2026-02</t>
        </is>
      </c>
      <c r="F93" s="21" t="inlineStr">
        <is>
          <t>2026-02-24</t>
        </is>
      </c>
      <c r="G93" s="21" t="inlineStr">
        <is>
          <t>2026-02-24</t>
        </is>
      </c>
      <c r="H93" s="21" t="n">
        <v>1</v>
      </c>
      <c r="I93" s="21" t="n">
        <v>1</v>
      </c>
      <c r="J93" s="21" t="n">
        <v>0</v>
      </c>
      <c r="K93" s="21" t="n">
        <v>1</v>
      </c>
      <c r="L93" s="24" t="n">
        <v>0.08</v>
      </c>
      <c r="M93" s="25">
        <f>I93*Resumo!$C$6</f>
        <v/>
      </c>
      <c r="N93" s="25">
        <f>IF(I93&gt;0,Resumo!$C$7,0)</f>
        <v/>
      </c>
      <c r="O93" s="25">
        <f>M93+N93</f>
        <v/>
      </c>
      <c r="P93" s="21" t="n">
        <v>5</v>
      </c>
      <c r="Q93" s="25" t="n">
        <v>399.5</v>
      </c>
      <c r="R93" s="25" t="n">
        <v>31.96</v>
      </c>
      <c r="S93" s="25">
        <f>Q93*Resumo!$C$8</f>
        <v/>
      </c>
      <c r="T93" s="25">
        <f>S93-R93-O93</f>
        <v/>
      </c>
      <c r="U93" s="26">
        <f>IF(O93&gt;0,Q93/O93,0)</f>
        <v/>
      </c>
      <c r="V93" s="24">
        <f>IF(O93&gt;0,T93/O93,0)</f>
        <v/>
      </c>
    </row>
    <row r="94">
      <c r="A94" s="15" t="n">
        <v>93</v>
      </c>
      <c r="B94" s="16" t="inlineStr">
        <is>
          <t>Milene Carvalho ✨</t>
        </is>
      </c>
      <c r="C94" s="16" t="inlineStr">
        <is>
          <t>@_milenecarvalho</t>
        </is>
      </c>
      <c r="D94" s="17" t="inlineStr">
        <is>
          <t>Enviado</t>
        </is>
      </c>
      <c r="E94" s="15" t="inlineStr">
        <is>
          <t>2026-03</t>
        </is>
      </c>
      <c r="F94" s="15" t="inlineStr">
        <is>
          <t>2026-03-04</t>
        </is>
      </c>
      <c r="G94" s="15" t="inlineStr">
        <is>
          <t>2026-03-07</t>
        </is>
      </c>
      <c r="H94" s="15" t="n">
        <v>3</v>
      </c>
      <c r="I94" s="15" t="n">
        <v>3</v>
      </c>
      <c r="J94" s="15" t="n">
        <v>0</v>
      </c>
      <c r="K94" s="15" t="n">
        <v>3</v>
      </c>
      <c r="L94" s="18" t="n">
        <v>0.08</v>
      </c>
      <c r="M94" s="19">
        <f>I94*Resumo!$C$6</f>
        <v/>
      </c>
      <c r="N94" s="19">
        <f>IF(I94&gt;0,Resumo!$C$7,0)</f>
        <v/>
      </c>
      <c r="O94" s="19">
        <f>M94+N94</f>
        <v/>
      </c>
      <c r="P94" s="15" t="n">
        <v>15</v>
      </c>
      <c r="Q94" s="19" t="n">
        <v>1319.39</v>
      </c>
      <c r="R94" s="19" t="n">
        <v>127.25</v>
      </c>
      <c r="S94" s="19">
        <f>Q94*Resumo!$C$8</f>
        <v/>
      </c>
      <c r="T94" s="19">
        <f>S94-R94-O94</f>
        <v/>
      </c>
      <c r="U94" s="20">
        <f>IF(O94&gt;0,Q94/O94,0)</f>
        <v/>
      </c>
      <c r="V94" s="18">
        <f>IF(O94&gt;0,T94/O94,0)</f>
        <v/>
      </c>
    </row>
    <row r="95">
      <c r="A95" s="21" t="n">
        <v>94</v>
      </c>
      <c r="B95" s="22" t="inlineStr">
        <is>
          <t>Blehh</t>
        </is>
      </c>
      <c r="C95" s="22" t="inlineStr">
        <is>
          <t>@someoneduda</t>
        </is>
      </c>
      <c r="D95" s="23" t="inlineStr">
        <is>
          <t>Enviado</t>
        </is>
      </c>
      <c r="E95" s="21" t="inlineStr">
        <is>
          <t>2026-03</t>
        </is>
      </c>
      <c r="F95" s="21" t="inlineStr">
        <is>
          <t>2026-03-12</t>
        </is>
      </c>
      <c r="G95" s="21" t="inlineStr">
        <is>
          <t>2026-03-12</t>
        </is>
      </c>
      <c r="H95" s="21" t="n">
        <v>1</v>
      </c>
      <c r="I95" s="21" t="n">
        <v>1</v>
      </c>
      <c r="J95" s="21" t="n">
        <v>0</v>
      </c>
      <c r="K95" s="21" t="n">
        <v>1</v>
      </c>
      <c r="L95" s="24" t="n">
        <v>0.08</v>
      </c>
      <c r="M95" s="25">
        <f>I95*Resumo!$C$6</f>
        <v/>
      </c>
      <c r="N95" s="25">
        <f>IF(I95&gt;0,Resumo!$C$7,0)</f>
        <v/>
      </c>
      <c r="O95" s="25">
        <f>M95+N95</f>
        <v/>
      </c>
      <c r="P95" s="21" t="n">
        <v>288</v>
      </c>
      <c r="Q95" s="25" t="n">
        <v>24581.7</v>
      </c>
      <c r="R95" s="25" t="n">
        <v>1230.63</v>
      </c>
      <c r="S95" s="25">
        <f>Q95*Resumo!$C$8</f>
        <v/>
      </c>
      <c r="T95" s="25">
        <f>S95-R95-O95</f>
        <v/>
      </c>
      <c r="U95" s="26">
        <f>IF(O95&gt;0,Q95/O95,0)</f>
        <v/>
      </c>
      <c r="V95" s="24">
        <f>IF(O95&gt;0,T95/O95,0)</f>
        <v/>
      </c>
    </row>
    <row r="96">
      <c r="A96" s="15" t="n">
        <v>95</v>
      </c>
      <c r="B96" s="16" t="inlineStr">
        <is>
          <t>Patty Lazzarotto</t>
        </is>
      </c>
      <c r="C96" s="16" t="inlineStr">
        <is>
          <t>@pattylazzarotto</t>
        </is>
      </c>
      <c r="D96" s="17" t="inlineStr">
        <is>
          <t>Enviado</t>
        </is>
      </c>
      <c r="E96" s="15" t="inlineStr">
        <is>
          <t>2026-03</t>
        </is>
      </c>
      <c r="F96" s="15" t="inlineStr">
        <is>
          <t>2026-03-17</t>
        </is>
      </c>
      <c r="G96" s="15" t="inlineStr">
        <is>
          <t>2026-03-17</t>
        </is>
      </c>
      <c r="H96" s="15" t="n">
        <v>1</v>
      </c>
      <c r="I96" s="15" t="n">
        <v>1</v>
      </c>
      <c r="J96" s="15" t="n">
        <v>0</v>
      </c>
      <c r="K96" s="15" t="n">
        <v>1</v>
      </c>
      <c r="L96" s="18" t="n">
        <v>0.12</v>
      </c>
      <c r="M96" s="19">
        <f>I96*Resumo!$C$6</f>
        <v/>
      </c>
      <c r="N96" s="19">
        <f>IF(I96&gt;0,Resumo!$C$7,0)</f>
        <v/>
      </c>
      <c r="O96" s="19">
        <f>M96+N96</f>
        <v/>
      </c>
      <c r="P96" s="15" t="n">
        <v>505</v>
      </c>
      <c r="Q96" s="19" t="n">
        <v>43062</v>
      </c>
      <c r="R96" s="19" t="n">
        <v>1742.79</v>
      </c>
      <c r="S96" s="19">
        <f>Q96*Resumo!$C$8</f>
        <v/>
      </c>
      <c r="T96" s="19">
        <f>S96-R96-O96</f>
        <v/>
      </c>
      <c r="U96" s="20">
        <f>IF(O96&gt;0,Q96/O96,0)</f>
        <v/>
      </c>
      <c r="V96" s="18">
        <f>IF(O96&gt;0,T96/O96,0)</f>
        <v/>
      </c>
    </row>
    <row r="97">
      <c r="A97" s="21" t="n">
        <v>96</v>
      </c>
      <c r="B97" s="22" t="inlineStr">
        <is>
          <t>Taci Recomenda</t>
        </is>
      </c>
      <c r="C97" s="22" t="inlineStr">
        <is>
          <t>@tacirecomenda</t>
        </is>
      </c>
      <c r="D97" s="23" t="inlineStr">
        <is>
          <t>Enviado</t>
        </is>
      </c>
      <c r="E97" s="21" t="inlineStr">
        <is>
          <t>2026-03</t>
        </is>
      </c>
      <c r="F97" s="21" t="inlineStr">
        <is>
          <t>2026-03-17</t>
        </is>
      </c>
      <c r="G97" s="21" t="inlineStr">
        <is>
          <t>2026-03-17</t>
        </is>
      </c>
      <c r="H97" s="21" t="n">
        <v>1</v>
      </c>
      <c r="I97" s="21" t="n">
        <v>1</v>
      </c>
      <c r="J97" s="21" t="n">
        <v>0</v>
      </c>
      <c r="K97" s="21" t="n">
        <v>1</v>
      </c>
      <c r="L97" s="24" t="n">
        <v>0.08</v>
      </c>
      <c r="M97" s="25">
        <f>I97*Resumo!$C$6</f>
        <v/>
      </c>
      <c r="N97" s="25">
        <f>IF(I97&gt;0,Resumo!$C$7,0)</f>
        <v/>
      </c>
      <c r="O97" s="25">
        <f>M97+N97</f>
        <v/>
      </c>
      <c r="P97" s="21" t="n">
        <v>30</v>
      </c>
      <c r="Q97" s="25" t="n">
        <v>2769.51</v>
      </c>
      <c r="R97" s="25" t="n">
        <v>203.18</v>
      </c>
      <c r="S97" s="25">
        <f>Q97*Resumo!$C$8</f>
        <v/>
      </c>
      <c r="T97" s="25">
        <f>S97-R97-O97</f>
        <v/>
      </c>
      <c r="U97" s="26">
        <f>IF(O97&gt;0,Q97/O97,0)</f>
        <v/>
      </c>
      <c r="V97" s="24">
        <f>IF(O97&gt;0,T97/O97,0)</f>
        <v/>
      </c>
    </row>
    <row r="98">
      <c r="A98" s="15" t="n">
        <v>97</v>
      </c>
      <c r="B98" s="16" t="inlineStr">
        <is>
          <t>Maria</t>
        </is>
      </c>
      <c r="C98" s="16" t="inlineStr">
        <is>
          <t>@_mareiis</t>
        </is>
      </c>
      <c r="D98" s="17" t="inlineStr">
        <is>
          <t>Enviado</t>
        </is>
      </c>
      <c r="E98" s="15" t="inlineStr">
        <is>
          <t>2026-03</t>
        </is>
      </c>
      <c r="F98" s="15" t="inlineStr">
        <is>
          <t>2026-03-23</t>
        </is>
      </c>
      <c r="G98" s="15" t="inlineStr">
        <is>
          <t>2026-03-30</t>
        </is>
      </c>
      <c r="H98" s="15" t="n">
        <v>3</v>
      </c>
      <c r="I98" s="15" t="n">
        <v>3</v>
      </c>
      <c r="J98" s="15" t="n">
        <v>0</v>
      </c>
      <c r="K98" s="15" t="n">
        <v>3</v>
      </c>
      <c r="L98" s="18" t="n">
        <v>0.08</v>
      </c>
      <c r="M98" s="19">
        <f>I98*Resumo!$C$6</f>
        <v/>
      </c>
      <c r="N98" s="19">
        <f>IF(I98&gt;0,Resumo!$C$7,0)</f>
        <v/>
      </c>
      <c r="O98" s="19">
        <f>M98+N98</f>
        <v/>
      </c>
      <c r="P98" s="15" t="n">
        <v>57</v>
      </c>
      <c r="Q98" s="19" t="n">
        <v>4358.41</v>
      </c>
      <c r="R98" s="19" t="n">
        <v>434.29</v>
      </c>
      <c r="S98" s="19">
        <f>Q98*Resumo!$C$8</f>
        <v/>
      </c>
      <c r="T98" s="19">
        <f>S98-R98-O98</f>
        <v/>
      </c>
      <c r="U98" s="20">
        <f>IF(O98&gt;0,Q98/O98,0)</f>
        <v/>
      </c>
      <c r="V98" s="18">
        <f>IF(O98&gt;0,T98/O98,0)</f>
        <v/>
      </c>
    </row>
    <row r="99">
      <c r="A99" s="21" t="n">
        <v>98</v>
      </c>
      <c r="B99" s="22" t="inlineStr">
        <is>
          <t>Lauren Copetti 🛍️</t>
        </is>
      </c>
      <c r="C99" s="22" t="inlineStr">
        <is>
          <t>@shopplau</t>
        </is>
      </c>
      <c r="D99" s="23" t="inlineStr">
        <is>
          <t>Enviado</t>
        </is>
      </c>
      <c r="E99" s="21" t="inlineStr">
        <is>
          <t>2026-03</t>
        </is>
      </c>
      <c r="F99" s="21" t="inlineStr">
        <is>
          <t>2026-03-23</t>
        </is>
      </c>
      <c r="G99" s="21" t="inlineStr">
        <is>
          <t>2026-03-23</t>
        </is>
      </c>
      <c r="H99" s="21" t="n">
        <v>1</v>
      </c>
      <c r="I99" s="21" t="n">
        <v>1</v>
      </c>
      <c r="J99" s="21" t="n">
        <v>0</v>
      </c>
      <c r="K99" s="21" t="n">
        <v>1</v>
      </c>
      <c r="L99" s="24" t="n">
        <v>0.08</v>
      </c>
      <c r="M99" s="25">
        <f>I99*Resumo!$C$6</f>
        <v/>
      </c>
      <c r="N99" s="25">
        <f>IF(I99&gt;0,Resumo!$C$7,0)</f>
        <v/>
      </c>
      <c r="O99" s="25">
        <f>M99+N99</f>
        <v/>
      </c>
      <c r="P99" s="21" t="n">
        <v>0</v>
      </c>
      <c r="Q99" s="25" t="n">
        <v>0</v>
      </c>
      <c r="R99" s="25" t="n">
        <v>0</v>
      </c>
      <c r="S99" s="25">
        <f>Q99*Resumo!$C$8</f>
        <v/>
      </c>
      <c r="T99" s="25">
        <f>S99-R99-O99</f>
        <v/>
      </c>
      <c r="U99" s="26">
        <f>IF(O99&gt;0,Q99/O99,0)</f>
        <v/>
      </c>
      <c r="V99" s="24">
        <f>IF(O99&gt;0,T99/O99,0)</f>
        <v/>
      </c>
    </row>
    <row r="100">
      <c r="A100" s="15" t="n">
        <v>99</v>
      </c>
      <c r="B100" s="16" t="inlineStr">
        <is>
          <t>Laryoliveira🐆</t>
        </is>
      </c>
      <c r="C100" s="16" t="inlineStr">
        <is>
          <t>@laryoliveiira_</t>
        </is>
      </c>
      <c r="D100" s="17" t="inlineStr">
        <is>
          <t>Enviado</t>
        </is>
      </c>
      <c r="E100" s="15" t="inlineStr">
        <is>
          <t>2026-03</t>
        </is>
      </c>
      <c r="F100" s="15" t="inlineStr">
        <is>
          <t>2026-03-29</t>
        </is>
      </c>
      <c r="G100" s="15" t="inlineStr">
        <is>
          <t>2026-03-29</t>
        </is>
      </c>
      <c r="H100" s="15" t="n">
        <v>1</v>
      </c>
      <c r="I100" s="15" t="n">
        <v>1</v>
      </c>
      <c r="J100" s="15" t="n">
        <v>0</v>
      </c>
      <c r="K100" s="15" t="n">
        <v>1</v>
      </c>
      <c r="L100" s="18" t="n">
        <v>0.08</v>
      </c>
      <c r="M100" s="19">
        <f>I100*Resumo!$C$6</f>
        <v/>
      </c>
      <c r="N100" s="19">
        <f>IF(I100&gt;0,Resumo!$C$7,0)</f>
        <v/>
      </c>
      <c r="O100" s="19">
        <f>M100+N100</f>
        <v/>
      </c>
      <c r="P100" s="15" t="n">
        <v>70</v>
      </c>
      <c r="Q100" s="19" t="n">
        <v>5622.69</v>
      </c>
      <c r="R100" s="19" t="n">
        <v>550.04</v>
      </c>
      <c r="S100" s="19">
        <f>Q100*Resumo!$C$8</f>
        <v/>
      </c>
      <c r="T100" s="19">
        <f>S100-R100-O100</f>
        <v/>
      </c>
      <c r="U100" s="20">
        <f>IF(O100&gt;0,Q100/O100,0)</f>
        <v/>
      </c>
      <c r="V100" s="18">
        <f>IF(O100&gt;0,T100/O100,0)</f>
        <v/>
      </c>
    </row>
    <row r="101">
      <c r="A101" s="21" t="n">
        <v>100</v>
      </c>
      <c r="B101" s="22" t="inlineStr">
        <is>
          <t>Mirella</t>
        </is>
      </c>
      <c r="C101" s="22" t="inlineStr">
        <is>
          <t>@psi.mirellarodrigues</t>
        </is>
      </c>
      <c r="D101" s="23" t="inlineStr">
        <is>
          <t>Enviado</t>
        </is>
      </c>
      <c r="E101" s="21" t="inlineStr">
        <is>
          <t>2026-03</t>
        </is>
      </c>
      <c r="F101" s="21" t="inlineStr">
        <is>
          <t>2026-03-31</t>
        </is>
      </c>
      <c r="G101" s="21" t="inlineStr">
        <is>
          <t>2026-03-31</t>
        </is>
      </c>
      <c r="H101" s="21" t="n">
        <v>3</v>
      </c>
      <c r="I101" s="21" t="n">
        <v>3</v>
      </c>
      <c r="J101" s="21" t="n">
        <v>0</v>
      </c>
      <c r="K101" s="21" t="n">
        <v>3</v>
      </c>
      <c r="L101" s="24" t="n">
        <v>0.12</v>
      </c>
      <c r="M101" s="25">
        <f>I101*Resumo!$C$6</f>
        <v/>
      </c>
      <c r="N101" s="25">
        <f>IF(I101&gt;0,Resumo!$C$7,0)</f>
        <v/>
      </c>
      <c r="O101" s="25">
        <f>M101+N101</f>
        <v/>
      </c>
      <c r="P101" s="21" t="n">
        <v>2115</v>
      </c>
      <c r="Q101" s="25" t="n">
        <v>163681.71</v>
      </c>
      <c r="R101" s="25" t="n">
        <v>16176.51</v>
      </c>
      <c r="S101" s="25">
        <f>Q101*Resumo!$C$8</f>
        <v/>
      </c>
      <c r="T101" s="25">
        <f>S101-R101-O101</f>
        <v/>
      </c>
      <c r="U101" s="26">
        <f>IF(O101&gt;0,Q101/O101,0)</f>
        <v/>
      </c>
      <c r="V101" s="24">
        <f>IF(O101&gt;0,T101/O101,0)</f>
        <v/>
      </c>
    </row>
    <row r="102">
      <c r="A102" s="15" t="n">
        <v>101</v>
      </c>
      <c r="B102" s="16" t="inlineStr">
        <is>
          <t>Nati</t>
        </is>
      </c>
      <c r="C102" s="16" t="inlineStr">
        <is>
          <t>@nati_sus</t>
        </is>
      </c>
      <c r="D102" s="17" t="inlineStr">
        <is>
          <t>Enviado</t>
        </is>
      </c>
      <c r="E102" s="15" t="inlineStr">
        <is>
          <t>2026-04</t>
        </is>
      </c>
      <c r="F102" s="15" t="inlineStr">
        <is>
          <t>2026-04-01</t>
        </is>
      </c>
      <c r="G102" s="15" t="inlineStr">
        <is>
          <t>2026-04-01</t>
        </is>
      </c>
      <c r="H102" s="15" t="n">
        <v>5</v>
      </c>
      <c r="I102" s="15" t="n">
        <v>5</v>
      </c>
      <c r="J102" s="15" t="n">
        <v>0</v>
      </c>
      <c r="K102" s="15" t="n">
        <v>5</v>
      </c>
      <c r="L102" s="18" t="n">
        <v>0.12</v>
      </c>
      <c r="M102" s="19">
        <f>I102*Resumo!$C$6</f>
        <v/>
      </c>
      <c r="N102" s="19">
        <f>IF(I102&gt;0,Resumo!$C$7,0)</f>
        <v/>
      </c>
      <c r="O102" s="19">
        <f>M102+N102</f>
        <v/>
      </c>
      <c r="P102" s="15" t="n">
        <v>92</v>
      </c>
      <c r="Q102" s="19" t="n">
        <v>8840.76</v>
      </c>
      <c r="R102" s="19" t="n">
        <v>673.79</v>
      </c>
      <c r="S102" s="19">
        <f>Q102*Resumo!$C$8</f>
        <v/>
      </c>
      <c r="T102" s="19">
        <f>S102-R102-O102</f>
        <v/>
      </c>
      <c r="U102" s="20">
        <f>IF(O102&gt;0,Q102/O102,0)</f>
        <v/>
      </c>
      <c r="V102" s="18">
        <f>IF(O102&gt;0,T102/O102,0)</f>
        <v/>
      </c>
    </row>
    <row r="103">
      <c r="A103" s="21" t="n">
        <v>102</v>
      </c>
      <c r="B103" s="22" t="inlineStr">
        <is>
          <t>Hitala Santiago</t>
        </is>
      </c>
      <c r="C103" s="22" t="inlineStr">
        <is>
          <t>@hitalasantiago</t>
        </is>
      </c>
      <c r="D103" s="23" t="inlineStr">
        <is>
          <t>Enviado</t>
        </is>
      </c>
      <c r="E103" s="21" t="inlineStr">
        <is>
          <t>2026-04</t>
        </is>
      </c>
      <c r="F103" s="21" t="inlineStr">
        <is>
          <t>2026-04-28</t>
        </is>
      </c>
      <c r="G103" s="21" t="inlineStr">
        <is>
          <t>2026-04-28</t>
        </is>
      </c>
      <c r="H103" s="21" t="n">
        <v>9</v>
      </c>
      <c r="I103" s="21" t="n">
        <v>2</v>
      </c>
      <c r="J103" s="21" t="n">
        <v>7</v>
      </c>
      <c r="K103" s="21" t="n">
        <v>9</v>
      </c>
      <c r="L103" s="24" t="n">
        <v>0.08</v>
      </c>
      <c r="M103" s="25">
        <f>I103*Resumo!$C$6</f>
        <v/>
      </c>
      <c r="N103" s="25">
        <f>IF(I103&gt;0,Resumo!$C$7,0)</f>
        <v/>
      </c>
      <c r="O103" s="25">
        <f>M103+N103</f>
        <v/>
      </c>
      <c r="P103" s="21" t="n">
        <v>4</v>
      </c>
      <c r="Q103" s="25" t="n">
        <v>394.69</v>
      </c>
      <c r="R103" s="25" t="n">
        <v>29.48</v>
      </c>
      <c r="S103" s="25">
        <f>Q103*Resumo!$C$8</f>
        <v/>
      </c>
      <c r="T103" s="25">
        <f>S103-R103-O103</f>
        <v/>
      </c>
      <c r="U103" s="26">
        <f>IF(O103&gt;0,Q103/O103,0)</f>
        <v/>
      </c>
      <c r="V103" s="24">
        <f>IF(O103&gt;0,T103/O103,0)</f>
        <v/>
      </c>
    </row>
    <row r="104">
      <c r="A104" s="15" t="n">
        <v>103</v>
      </c>
      <c r="B104" s="16" t="inlineStr">
        <is>
          <t>Mirella</t>
        </is>
      </c>
      <c r="C104" s="16" t="inlineStr">
        <is>
          <t>@psi.mirellarodrigues</t>
        </is>
      </c>
      <c r="D104" s="17" t="inlineStr">
        <is>
          <t>Enviado</t>
        </is>
      </c>
      <c r="E104" s="15" t="inlineStr">
        <is>
          <t>2026-04</t>
        </is>
      </c>
      <c r="F104" s="15" t="inlineStr">
        <is>
          <t>2026-04-29</t>
        </is>
      </c>
      <c r="G104" s="15" t="inlineStr">
        <is>
          <t>2026-04-29</t>
        </is>
      </c>
      <c r="H104" s="15" t="n">
        <v>6</v>
      </c>
      <c r="I104" s="15" t="n">
        <v>6</v>
      </c>
      <c r="J104" s="15" t="n">
        <v>0</v>
      </c>
      <c r="K104" s="15" t="n">
        <v>6</v>
      </c>
      <c r="L104" s="18" t="n">
        <v>0.12</v>
      </c>
      <c r="M104" s="19">
        <f>I104*Resumo!$C$6</f>
        <v/>
      </c>
      <c r="N104" s="19">
        <f>IF(I104&gt;0,Resumo!$C$7,0)</f>
        <v/>
      </c>
      <c r="O104" s="19">
        <f>M104+N104</f>
        <v/>
      </c>
      <c r="P104" s="15" t="n">
        <v>41</v>
      </c>
      <c r="Q104" s="19" t="n">
        <v>3796.41</v>
      </c>
      <c r="R104" s="19" t="n">
        <v>422.46</v>
      </c>
      <c r="S104" s="19">
        <f>Q104*Resumo!$C$8</f>
        <v/>
      </c>
      <c r="T104" s="19">
        <f>S104-R104-O104</f>
        <v/>
      </c>
      <c r="U104" s="20">
        <f>IF(O104&gt;0,Q104/O104,0)</f>
        <v/>
      </c>
      <c r="V104" s="18">
        <f>IF(O104&gt;0,T104/O104,0)</f>
        <v/>
      </c>
    </row>
    <row r="105">
      <c r="A105" s="21" t="n">
        <v>104</v>
      </c>
      <c r="B105" s="22" t="inlineStr">
        <is>
          <t>numarchi</t>
        </is>
      </c>
      <c r="C105" s="22" t="inlineStr">
        <is>
          <t>@numarchi</t>
        </is>
      </c>
      <c r="D105" s="23" t="inlineStr">
        <is>
          <t>Enviado</t>
        </is>
      </c>
      <c r="E105" s="21" t="inlineStr">
        <is>
          <t>2026-04</t>
        </is>
      </c>
      <c r="F105" s="21" t="inlineStr">
        <is>
          <t>2026-04-30</t>
        </is>
      </c>
      <c r="G105" s="21" t="inlineStr">
        <is>
          <t>2026-04-30</t>
        </is>
      </c>
      <c r="H105" s="21" t="n">
        <v>3</v>
      </c>
      <c r="I105" s="21" t="n">
        <v>3</v>
      </c>
      <c r="J105" s="21" t="n">
        <v>0</v>
      </c>
      <c r="K105" s="21" t="n">
        <v>3</v>
      </c>
      <c r="L105" s="24" t="n">
        <v>0.12</v>
      </c>
      <c r="M105" s="25">
        <f>I105*Resumo!$C$6</f>
        <v/>
      </c>
      <c r="N105" s="25">
        <f>IF(I105&gt;0,Resumo!$C$7,0)</f>
        <v/>
      </c>
      <c r="O105" s="25">
        <f>M105+N105</f>
        <v/>
      </c>
      <c r="P105" s="21" t="n">
        <v>22</v>
      </c>
      <c r="Q105" s="25" t="n">
        <v>2024.25</v>
      </c>
      <c r="R105" s="25" t="n">
        <v>202.19</v>
      </c>
      <c r="S105" s="25">
        <f>Q105*Resumo!$C$8</f>
        <v/>
      </c>
      <c r="T105" s="25">
        <f>S105-R105-O105</f>
        <v/>
      </c>
      <c r="U105" s="26">
        <f>IF(O105&gt;0,Q105/O105,0)</f>
        <v/>
      </c>
      <c r="V105" s="24">
        <f>IF(O105&gt;0,T105/O105,0)</f>
        <v/>
      </c>
    </row>
    <row r="106">
      <c r="A106" s="15" t="n">
        <v>105</v>
      </c>
      <c r="B106" s="16" t="inlineStr">
        <is>
          <t>Patty Lazzarotto</t>
        </is>
      </c>
      <c r="C106" s="16" t="inlineStr">
        <is>
          <t>@pattylazzarotto</t>
        </is>
      </c>
      <c r="D106" s="17" t="inlineStr">
        <is>
          <t>Enviado</t>
        </is>
      </c>
      <c r="E106" s="15" t="inlineStr">
        <is>
          <t>2026-04</t>
        </is>
      </c>
      <c r="F106" s="15" t="inlineStr">
        <is>
          <t>2026-04-30</t>
        </is>
      </c>
      <c r="G106" s="15" t="inlineStr">
        <is>
          <t>2026-04-30</t>
        </is>
      </c>
      <c r="H106" s="15" t="n">
        <v>3</v>
      </c>
      <c r="I106" s="15" t="n">
        <v>1</v>
      </c>
      <c r="J106" s="15" t="n">
        <v>2</v>
      </c>
      <c r="K106" s="15" t="n">
        <v>3</v>
      </c>
      <c r="L106" s="18" t="n">
        <v>0.12</v>
      </c>
      <c r="M106" s="19">
        <f>I106*Resumo!$C$6</f>
        <v/>
      </c>
      <c r="N106" s="19">
        <f>IF(I106&gt;0,Resumo!$C$7,0)</f>
        <v/>
      </c>
      <c r="O106" s="19">
        <f>M106+N106</f>
        <v/>
      </c>
      <c r="P106" s="15" t="n">
        <v>15</v>
      </c>
      <c r="Q106" s="19" t="n">
        <v>1216.5</v>
      </c>
      <c r="R106" s="19" t="n">
        <v>88.47</v>
      </c>
      <c r="S106" s="19">
        <f>Q106*Resumo!$C$8</f>
        <v/>
      </c>
      <c r="T106" s="19">
        <f>S106-R106-O106</f>
        <v/>
      </c>
      <c r="U106" s="20">
        <f>IF(O106&gt;0,Q106/O106,0)</f>
        <v/>
      </c>
      <c r="V106" s="18">
        <f>IF(O106&gt;0,T106/O106,0)</f>
        <v/>
      </c>
    </row>
    <row r="107">
      <c r="A107" s="21" t="n">
        <v>106</v>
      </c>
      <c r="B107" s="22" t="inlineStr">
        <is>
          <t>maaelvv</t>
        </is>
      </c>
      <c r="C107" s="22" t="inlineStr">
        <is>
          <t>@maaelvv</t>
        </is>
      </c>
      <c r="D107" s="23" t="inlineStr">
        <is>
          <t>Enviado</t>
        </is>
      </c>
      <c r="E107" s="21" t="inlineStr">
        <is>
          <t>2026-04</t>
        </is>
      </c>
      <c r="F107" s="21" t="inlineStr">
        <is>
          <t>2026-04-30</t>
        </is>
      </c>
      <c r="G107" s="21" t="inlineStr">
        <is>
          <t>2026-04-30</t>
        </is>
      </c>
      <c r="H107" s="21" t="n">
        <v>3</v>
      </c>
      <c r="I107" s="21" t="n">
        <v>3</v>
      </c>
      <c r="J107" s="21" t="n">
        <v>0</v>
      </c>
      <c r="K107" s="21" t="n">
        <v>3</v>
      </c>
      <c r="L107" s="24" t="n">
        <v>0.08</v>
      </c>
      <c r="M107" s="25">
        <f>I107*Resumo!$C$6</f>
        <v/>
      </c>
      <c r="N107" s="25">
        <f>IF(I107&gt;0,Resumo!$C$7,0)</f>
        <v/>
      </c>
      <c r="O107" s="25">
        <f>M107+N107</f>
        <v/>
      </c>
      <c r="P107" s="21" t="n">
        <v>0</v>
      </c>
      <c r="Q107" s="25" t="n">
        <v>0</v>
      </c>
      <c r="R107" s="25" t="n">
        <v>0</v>
      </c>
      <c r="S107" s="25">
        <f>Q107*Resumo!$C$8</f>
        <v/>
      </c>
      <c r="T107" s="25">
        <f>S107-R107-O107</f>
        <v/>
      </c>
      <c r="U107" s="26">
        <f>IF(O107&gt;0,Q107/O107,0)</f>
        <v/>
      </c>
      <c r="V107" s="24">
        <f>IF(O107&gt;0,T107/O107,0)</f>
        <v/>
      </c>
    </row>
    <row r="108">
      <c r="A108" s="15" t="n">
        <v>107</v>
      </c>
      <c r="B108" s="16" t="inlineStr">
        <is>
          <t>Taciane | Shop Creator</t>
        </is>
      </c>
      <c r="C108" s="16" t="inlineStr">
        <is>
          <t>@tacianecreator</t>
        </is>
      </c>
      <c r="D108" s="17" t="inlineStr">
        <is>
          <t>Enviado</t>
        </is>
      </c>
      <c r="E108" s="15" t="inlineStr">
        <is>
          <t>2026-05</t>
        </is>
      </c>
      <c r="F108" s="15" t="inlineStr">
        <is>
          <t>2026-05-02</t>
        </is>
      </c>
      <c r="G108" s="15" t="inlineStr">
        <is>
          <t>2026-05-02</t>
        </is>
      </c>
      <c r="H108" s="15" t="n">
        <v>2</v>
      </c>
      <c r="I108" s="15" t="n">
        <v>2</v>
      </c>
      <c r="J108" s="15" t="n">
        <v>0</v>
      </c>
      <c r="K108" s="15" t="n">
        <v>2</v>
      </c>
      <c r="L108" s="18" t="n">
        <v>0.08</v>
      </c>
      <c r="M108" s="19">
        <f>I108*Resumo!$C$6</f>
        <v/>
      </c>
      <c r="N108" s="19">
        <f>IF(I108&gt;0,Resumo!$C$7,0)</f>
        <v/>
      </c>
      <c r="O108" s="19">
        <f>M108+N108</f>
        <v/>
      </c>
      <c r="P108" s="15" t="n">
        <v>3879</v>
      </c>
      <c r="Q108" s="19" t="n">
        <v>356922.9</v>
      </c>
      <c r="R108" s="19" t="n">
        <v>22211.77</v>
      </c>
      <c r="S108" s="19">
        <f>Q108*Resumo!$C$8</f>
        <v/>
      </c>
      <c r="T108" s="19">
        <f>S108-R108-O108</f>
        <v/>
      </c>
      <c r="U108" s="20">
        <f>IF(O108&gt;0,Q108/O108,0)</f>
        <v/>
      </c>
      <c r="V108" s="18">
        <f>IF(O108&gt;0,T108/O108,0)</f>
        <v/>
      </c>
    </row>
    <row r="109">
      <c r="A109" s="27" t="n">
        <v>108</v>
      </c>
      <c r="B109" s="28" t="inlineStr">
        <is>
          <t>Patty Lazzarotto</t>
        </is>
      </c>
      <c r="C109" s="28" t="inlineStr">
        <is>
          <t>@pattylazzarotto</t>
        </is>
      </c>
      <c r="D109" s="29" t="inlineStr">
        <is>
          <t>Nada enviado</t>
        </is>
      </c>
      <c r="E109" s="27" t="inlineStr">
        <is>
          <t>2026-05</t>
        </is>
      </c>
      <c r="F109" s="27" t="inlineStr">
        <is>
          <t>2026-05-02</t>
        </is>
      </c>
      <c r="G109" s="27" t="inlineStr">
        <is>
          <t>2026-05-02</t>
        </is>
      </c>
      <c r="H109" s="27" t="n">
        <v>1</v>
      </c>
      <c r="I109" s="27" t="n">
        <v>0</v>
      </c>
      <c r="J109" s="27" t="n">
        <v>1</v>
      </c>
      <c r="K109" s="27" t="n">
        <v>1</v>
      </c>
      <c r="L109" s="30" t="n">
        <v>0.12</v>
      </c>
      <c r="M109" s="31">
        <f>I109*Resumo!$C$6</f>
        <v/>
      </c>
      <c r="N109" s="31">
        <f>IF(I109&gt;0,Resumo!$C$7,0)</f>
        <v/>
      </c>
      <c r="O109" s="31">
        <f>M109+N109</f>
        <v/>
      </c>
      <c r="P109" s="27" t="n">
        <v>234</v>
      </c>
      <c r="Q109" s="31" t="n">
        <v>23867.23</v>
      </c>
      <c r="R109" s="31" t="n">
        <v>1534.44</v>
      </c>
      <c r="S109" s="31">
        <f>Q109*Resumo!$C$8</f>
        <v/>
      </c>
      <c r="T109" s="31">
        <f>S109-R109-O109</f>
        <v/>
      </c>
      <c r="U109" s="32">
        <f>IF(O109&gt;0,Q109/O109,0)</f>
        <v/>
      </c>
      <c r="V109" s="30">
        <f>IF(O109&gt;0,T109/O109,0)</f>
        <v/>
      </c>
    </row>
    <row r="110">
      <c r="A110" s="15" t="n">
        <v>109</v>
      </c>
      <c r="B110" s="16" t="inlineStr">
        <is>
          <t>Jess Mesant</t>
        </is>
      </c>
      <c r="C110" s="16" t="inlineStr">
        <is>
          <t>@jessicamesant</t>
        </is>
      </c>
      <c r="D110" s="17" t="inlineStr">
        <is>
          <t>Enviado</t>
        </is>
      </c>
      <c r="E110" s="15" t="inlineStr">
        <is>
          <t>2026-05</t>
        </is>
      </c>
      <c r="F110" s="15" t="inlineStr">
        <is>
          <t>2026-05-02</t>
        </is>
      </c>
      <c r="G110" s="15" t="inlineStr">
        <is>
          <t>2026-05-02</t>
        </is>
      </c>
      <c r="H110" s="15" t="n">
        <v>3</v>
      </c>
      <c r="I110" s="15" t="n">
        <v>3</v>
      </c>
      <c r="J110" s="15" t="n">
        <v>0</v>
      </c>
      <c r="K110" s="15" t="n">
        <v>3</v>
      </c>
      <c r="L110" s="18" t="n">
        <v>0.12</v>
      </c>
      <c r="M110" s="19">
        <f>I110*Resumo!$C$6</f>
        <v/>
      </c>
      <c r="N110" s="19">
        <f>IF(I110&gt;0,Resumo!$C$7,0)</f>
        <v/>
      </c>
      <c r="O110" s="19">
        <f>M110+N110</f>
        <v/>
      </c>
      <c r="P110" s="15" t="n">
        <v>99</v>
      </c>
      <c r="Q110" s="19" t="n">
        <v>10160.95</v>
      </c>
      <c r="R110" s="19" t="n">
        <v>846.58</v>
      </c>
      <c r="S110" s="19">
        <f>Q110*Resumo!$C$8</f>
        <v/>
      </c>
      <c r="T110" s="19">
        <f>S110-R110-O110</f>
        <v/>
      </c>
      <c r="U110" s="20">
        <f>IF(O110&gt;0,Q110/O110,0)</f>
        <v/>
      </c>
      <c r="V110" s="18">
        <f>IF(O110&gt;0,T110/O110,0)</f>
        <v/>
      </c>
    </row>
    <row r="111">
      <c r="A111" s="21" t="n">
        <v>110</v>
      </c>
      <c r="B111" s="22" t="inlineStr">
        <is>
          <t>Pamela W. Kochan</t>
        </is>
      </c>
      <c r="C111" s="22" t="inlineStr">
        <is>
          <t>@pam.wk</t>
        </is>
      </c>
      <c r="D111" s="23" t="inlineStr">
        <is>
          <t>Enviado</t>
        </is>
      </c>
      <c r="E111" s="21" t="inlineStr">
        <is>
          <t>2026-05</t>
        </is>
      </c>
      <c r="F111" s="21" t="inlineStr">
        <is>
          <t>2026-05-02</t>
        </is>
      </c>
      <c r="G111" s="21" t="inlineStr">
        <is>
          <t>2026-05-04</t>
        </is>
      </c>
      <c r="H111" s="21" t="n">
        <v>6</v>
      </c>
      <c r="I111" s="21" t="n">
        <v>5</v>
      </c>
      <c r="J111" s="21" t="n">
        <v>1</v>
      </c>
      <c r="K111" s="21" t="n">
        <v>6</v>
      </c>
      <c r="L111" s="24" t="n">
        <v>0.08</v>
      </c>
      <c r="M111" s="25">
        <f>I111*Resumo!$C$6</f>
        <v/>
      </c>
      <c r="N111" s="25">
        <f>IF(I111&gt;0,Resumo!$C$7,0)</f>
        <v/>
      </c>
      <c r="O111" s="25">
        <f>M111+N111</f>
        <v/>
      </c>
      <c r="P111" s="21" t="n">
        <v>4</v>
      </c>
      <c r="Q111" s="25" t="n">
        <v>419.6</v>
      </c>
      <c r="R111" s="25" t="n">
        <v>10.99</v>
      </c>
      <c r="S111" s="25">
        <f>Q111*Resumo!$C$8</f>
        <v/>
      </c>
      <c r="T111" s="25">
        <f>S111-R111-O111</f>
        <v/>
      </c>
      <c r="U111" s="26">
        <f>IF(O111&gt;0,Q111/O111,0)</f>
        <v/>
      </c>
      <c r="V111" s="24">
        <f>IF(O111&gt;0,T111/O111,0)</f>
        <v/>
      </c>
    </row>
    <row r="112">
      <c r="A112" s="27" t="n">
        <v>111</v>
      </c>
      <c r="B112" s="28" t="inlineStr">
        <is>
          <t>Agatha</t>
        </is>
      </c>
      <c r="C112" s="28" t="inlineStr">
        <is>
          <t>@agatha__evellyn</t>
        </is>
      </c>
      <c r="D112" s="29" t="inlineStr">
        <is>
          <t>Nada enviado</t>
        </is>
      </c>
      <c r="E112" s="27" t="inlineStr">
        <is>
          <t>2026-05</t>
        </is>
      </c>
      <c r="F112" s="27" t="inlineStr">
        <is>
          <t>2026-05-02</t>
        </is>
      </c>
      <c r="G112" s="27" t="inlineStr">
        <is>
          <t>2026-05-02</t>
        </is>
      </c>
      <c r="H112" s="27" t="n">
        <v>7</v>
      </c>
      <c r="I112" s="27" t="n">
        <v>0</v>
      </c>
      <c r="J112" s="27" t="n">
        <v>7</v>
      </c>
      <c r="K112" s="27" t="n">
        <v>7</v>
      </c>
      <c r="L112" s="30" t="n">
        <v>0.08</v>
      </c>
      <c r="M112" s="31">
        <f>I112*Resumo!$C$6</f>
        <v/>
      </c>
      <c r="N112" s="31">
        <f>IF(I112&gt;0,Resumo!$C$7,0)</f>
        <v/>
      </c>
      <c r="O112" s="31">
        <f>M112+N112</f>
        <v/>
      </c>
      <c r="P112" s="27" t="n">
        <v>2</v>
      </c>
      <c r="Q112" s="31" t="n">
        <v>199.89</v>
      </c>
      <c r="R112" s="31" t="n">
        <v>19.99</v>
      </c>
      <c r="S112" s="31">
        <f>Q112*Resumo!$C$8</f>
        <v/>
      </c>
      <c r="T112" s="31">
        <f>S112-R112-O112</f>
        <v/>
      </c>
      <c r="U112" s="32">
        <f>IF(O112&gt;0,Q112/O112,0)</f>
        <v/>
      </c>
      <c r="V112" s="30">
        <f>IF(O112&gt;0,T112/O112,0)</f>
        <v/>
      </c>
    </row>
    <row r="113">
      <c r="A113" s="21" t="n">
        <v>112</v>
      </c>
      <c r="B113" s="22" t="inlineStr">
        <is>
          <t>thainabeautyoficial</t>
        </is>
      </c>
      <c r="C113" s="22" t="inlineStr">
        <is>
          <t>@thainabeautyoficial</t>
        </is>
      </c>
      <c r="D113" s="23" t="inlineStr">
        <is>
          <t>Enviado</t>
        </is>
      </c>
      <c r="E113" s="21" t="inlineStr">
        <is>
          <t>2026-05</t>
        </is>
      </c>
      <c r="F113" s="21" t="inlineStr">
        <is>
          <t>2026-05-04</t>
        </is>
      </c>
      <c r="G113" s="21" t="inlineStr">
        <is>
          <t>2026-05-04</t>
        </is>
      </c>
      <c r="H113" s="21" t="n">
        <v>2</v>
      </c>
      <c r="I113" s="21" t="n">
        <v>2</v>
      </c>
      <c r="J113" s="21" t="n">
        <v>0</v>
      </c>
      <c r="K113" s="21" t="n">
        <v>2</v>
      </c>
      <c r="L113" s="24" t="n">
        <v>0.12</v>
      </c>
      <c r="M113" s="25">
        <f>I113*Resumo!$C$6</f>
        <v/>
      </c>
      <c r="N113" s="25">
        <f>IF(I113&gt;0,Resumo!$C$7,0)</f>
        <v/>
      </c>
      <c r="O113" s="25">
        <f>M113+N113</f>
        <v/>
      </c>
      <c r="P113" s="21" t="n">
        <v>226</v>
      </c>
      <c r="Q113" s="25" t="n">
        <v>23024.33</v>
      </c>
      <c r="R113" s="25" t="n">
        <v>1593.64</v>
      </c>
      <c r="S113" s="25">
        <f>Q113*Resumo!$C$8</f>
        <v/>
      </c>
      <c r="T113" s="25">
        <f>S113-R113-O113</f>
        <v/>
      </c>
      <c r="U113" s="26">
        <f>IF(O113&gt;0,Q113/O113,0)</f>
        <v/>
      </c>
      <c r="V113" s="24">
        <f>IF(O113&gt;0,T113/O113,0)</f>
        <v/>
      </c>
    </row>
    <row r="114">
      <c r="A114" s="15" t="n">
        <v>113</v>
      </c>
      <c r="B114" s="16" t="inlineStr">
        <is>
          <t>Thami Brambilla</t>
        </is>
      </c>
      <c r="C114" s="16" t="inlineStr">
        <is>
          <t>@thami.brambilla</t>
        </is>
      </c>
      <c r="D114" s="17" t="inlineStr">
        <is>
          <t>Enviado</t>
        </is>
      </c>
      <c r="E114" s="15" t="inlineStr">
        <is>
          <t>2026-05</t>
        </is>
      </c>
      <c r="F114" s="15" t="inlineStr">
        <is>
          <t>2026-05-04</t>
        </is>
      </c>
      <c r="G114" s="15" t="inlineStr">
        <is>
          <t>2026-05-04</t>
        </is>
      </c>
      <c r="H114" s="15" t="n">
        <v>2</v>
      </c>
      <c r="I114" s="15" t="n">
        <v>2</v>
      </c>
      <c r="J114" s="15" t="n">
        <v>0</v>
      </c>
      <c r="K114" s="15" t="n">
        <v>2</v>
      </c>
      <c r="L114" s="18" t="n">
        <v>0.12</v>
      </c>
      <c r="M114" s="19">
        <f>I114*Resumo!$C$6</f>
        <v/>
      </c>
      <c r="N114" s="19">
        <f>IF(I114&gt;0,Resumo!$C$7,0)</f>
        <v/>
      </c>
      <c r="O114" s="19">
        <f>M114+N114</f>
        <v/>
      </c>
      <c r="P114" s="15" t="n">
        <v>143</v>
      </c>
      <c r="Q114" s="19" t="n">
        <v>14061.27</v>
      </c>
      <c r="R114" s="19" t="n">
        <v>736.74</v>
      </c>
      <c r="S114" s="19">
        <f>Q114*Resumo!$C$8</f>
        <v/>
      </c>
      <c r="T114" s="19">
        <f>S114-R114-O114</f>
        <v/>
      </c>
      <c r="U114" s="20">
        <f>IF(O114&gt;0,Q114/O114,0)</f>
        <v/>
      </c>
      <c r="V114" s="18">
        <f>IF(O114&gt;0,T114/O114,0)</f>
        <v/>
      </c>
    </row>
    <row r="115">
      <c r="A115" s="21" t="n">
        <v>114</v>
      </c>
      <c r="B115" s="22" t="inlineStr">
        <is>
          <t>Nati</t>
        </is>
      </c>
      <c r="C115" s="22" t="inlineStr">
        <is>
          <t>@nati_sus</t>
        </is>
      </c>
      <c r="D115" s="23" t="inlineStr">
        <is>
          <t>Enviado</t>
        </is>
      </c>
      <c r="E115" s="21" t="inlineStr">
        <is>
          <t>2026-05</t>
        </is>
      </c>
      <c r="F115" s="21" t="inlineStr">
        <is>
          <t>2026-05-04</t>
        </is>
      </c>
      <c r="G115" s="21" t="inlineStr">
        <is>
          <t>2026-05-04</t>
        </is>
      </c>
      <c r="H115" s="21" t="n">
        <v>3</v>
      </c>
      <c r="I115" s="21" t="n">
        <v>3</v>
      </c>
      <c r="J115" s="21" t="n">
        <v>0</v>
      </c>
      <c r="K115" s="21" t="n">
        <v>3</v>
      </c>
      <c r="L115" s="24" t="n">
        <v>0.12</v>
      </c>
      <c r="M115" s="25">
        <f>I115*Resumo!$C$6</f>
        <v/>
      </c>
      <c r="N115" s="25">
        <f>IF(I115&gt;0,Resumo!$C$7,0)</f>
        <v/>
      </c>
      <c r="O115" s="25">
        <f>M115+N115</f>
        <v/>
      </c>
      <c r="P115" s="21" t="n">
        <v>81</v>
      </c>
      <c r="Q115" s="25" t="n">
        <v>8534.299999999999</v>
      </c>
      <c r="R115" s="25" t="n">
        <v>879.1900000000001</v>
      </c>
      <c r="S115" s="25">
        <f>Q115*Resumo!$C$8</f>
        <v/>
      </c>
      <c r="T115" s="25">
        <f>S115-R115-O115</f>
        <v/>
      </c>
      <c r="U115" s="26">
        <f>IF(O115&gt;0,Q115/O115,0)</f>
        <v/>
      </c>
      <c r="V115" s="24">
        <f>IF(O115&gt;0,T115/O115,0)</f>
        <v/>
      </c>
    </row>
    <row r="116">
      <c r="A116" s="15" t="n">
        <v>115</v>
      </c>
      <c r="B116" s="16" t="inlineStr">
        <is>
          <t>Gabbi 🌟</t>
        </is>
      </c>
      <c r="C116" s="16" t="inlineStr">
        <is>
          <t>@gabbizie</t>
        </is>
      </c>
      <c r="D116" s="17" t="inlineStr">
        <is>
          <t>Enviado</t>
        </is>
      </c>
      <c r="E116" s="15" t="inlineStr">
        <is>
          <t>2026-05</t>
        </is>
      </c>
      <c r="F116" s="15" t="inlineStr">
        <is>
          <t>2026-05-04</t>
        </is>
      </c>
      <c r="G116" s="15" t="inlineStr">
        <is>
          <t>2026-05-04</t>
        </is>
      </c>
      <c r="H116" s="15" t="n">
        <v>2</v>
      </c>
      <c r="I116" s="15" t="n">
        <v>1</v>
      </c>
      <c r="J116" s="15" t="n">
        <v>1</v>
      </c>
      <c r="K116" s="15" t="n">
        <v>2</v>
      </c>
      <c r="L116" s="18" t="n">
        <v>0.12</v>
      </c>
      <c r="M116" s="19">
        <f>I116*Resumo!$C$6</f>
        <v/>
      </c>
      <c r="N116" s="19">
        <f>IF(I116&gt;0,Resumo!$C$7,0)</f>
        <v/>
      </c>
      <c r="O116" s="19">
        <f>M116+N116</f>
        <v/>
      </c>
      <c r="P116" s="15" t="n">
        <v>45</v>
      </c>
      <c r="Q116" s="19" t="n">
        <v>4635.08</v>
      </c>
      <c r="R116" s="19" t="n">
        <v>544.3099999999999</v>
      </c>
      <c r="S116" s="19">
        <f>Q116*Resumo!$C$8</f>
        <v/>
      </c>
      <c r="T116" s="19">
        <f>S116-R116-O116</f>
        <v/>
      </c>
      <c r="U116" s="20">
        <f>IF(O116&gt;0,Q116/O116,0)</f>
        <v/>
      </c>
      <c r="V116" s="18">
        <f>IF(O116&gt;0,T116/O116,0)</f>
        <v/>
      </c>
    </row>
    <row r="117">
      <c r="A117" s="21" t="n">
        <v>116</v>
      </c>
      <c r="B117" s="22" t="inlineStr">
        <is>
          <t>Aline Cavanellas</t>
        </is>
      </c>
      <c r="C117" s="22" t="inlineStr">
        <is>
          <t>@alinecavanellas</t>
        </is>
      </c>
      <c r="D117" s="23" t="inlineStr">
        <is>
          <t>Enviado</t>
        </is>
      </c>
      <c r="E117" s="21" t="inlineStr">
        <is>
          <t>2026-05</t>
        </is>
      </c>
      <c r="F117" s="21" t="inlineStr">
        <is>
          <t>2026-05-05</t>
        </is>
      </c>
      <c r="G117" s="21" t="inlineStr">
        <is>
          <t>2026-05-05</t>
        </is>
      </c>
      <c r="H117" s="21" t="n">
        <v>3</v>
      </c>
      <c r="I117" s="21" t="n">
        <v>3</v>
      </c>
      <c r="J117" s="21" t="n">
        <v>0</v>
      </c>
      <c r="K117" s="21" t="n">
        <v>3</v>
      </c>
      <c r="L117" s="24" t="n">
        <v>0.08</v>
      </c>
      <c r="M117" s="25">
        <f>I117*Resumo!$C$6</f>
        <v/>
      </c>
      <c r="N117" s="25">
        <f>IF(I117&gt;0,Resumo!$C$7,0)</f>
        <v/>
      </c>
      <c r="O117" s="25">
        <f>M117+N117</f>
        <v/>
      </c>
      <c r="P117" s="21" t="n">
        <v>677</v>
      </c>
      <c r="Q117" s="25" t="n">
        <v>69914.53999999999</v>
      </c>
      <c r="R117" s="25" t="n">
        <v>3901.42</v>
      </c>
      <c r="S117" s="25">
        <f>Q117*Resumo!$C$8</f>
        <v/>
      </c>
      <c r="T117" s="25">
        <f>S117-R117-O117</f>
        <v/>
      </c>
      <c r="U117" s="26">
        <f>IF(O117&gt;0,Q117/O117,0)</f>
        <v/>
      </c>
      <c r="V117" s="24">
        <f>IF(O117&gt;0,T117/O117,0)</f>
        <v/>
      </c>
    </row>
    <row r="118">
      <c r="A118" s="15" t="n">
        <v>117</v>
      </c>
      <c r="B118" s="16" t="inlineStr">
        <is>
          <t>Amanda ✨</t>
        </is>
      </c>
      <c r="C118" s="16" t="inlineStr">
        <is>
          <t>@amandabreeu_</t>
        </is>
      </c>
      <c r="D118" s="17" t="inlineStr">
        <is>
          <t>Enviado</t>
        </is>
      </c>
      <c r="E118" s="15" t="inlineStr">
        <is>
          <t>2026-05</t>
        </is>
      </c>
      <c r="F118" s="15" t="inlineStr">
        <is>
          <t>2026-05-05</t>
        </is>
      </c>
      <c r="G118" s="15" t="inlineStr">
        <is>
          <t>2026-05-05</t>
        </is>
      </c>
      <c r="H118" s="15" t="n">
        <v>2</v>
      </c>
      <c r="I118" s="15" t="n">
        <v>2</v>
      </c>
      <c r="J118" s="15" t="n">
        <v>0</v>
      </c>
      <c r="K118" s="15" t="n">
        <v>2</v>
      </c>
      <c r="L118" s="18" t="n">
        <v>0.08</v>
      </c>
      <c r="M118" s="19">
        <f>I118*Resumo!$C$6</f>
        <v/>
      </c>
      <c r="N118" s="19">
        <f>IF(I118&gt;0,Resumo!$C$7,0)</f>
        <v/>
      </c>
      <c r="O118" s="19">
        <f>M118+N118</f>
        <v/>
      </c>
      <c r="P118" s="15" t="n">
        <v>4</v>
      </c>
      <c r="Q118" s="19" t="n">
        <v>374.6</v>
      </c>
      <c r="R118" s="19" t="n">
        <v>37.46</v>
      </c>
      <c r="S118" s="19">
        <f>Q118*Resumo!$C$8</f>
        <v/>
      </c>
      <c r="T118" s="19">
        <f>S118-R118-O118</f>
        <v/>
      </c>
      <c r="U118" s="20">
        <f>IF(O118&gt;0,Q118/O118,0)</f>
        <v/>
      </c>
      <c r="V118" s="18">
        <f>IF(O118&gt;0,T118/O118,0)</f>
        <v/>
      </c>
    </row>
    <row r="119">
      <c r="A119" s="21" t="n">
        <v>118</v>
      </c>
      <c r="B119" s="22" t="inlineStr">
        <is>
          <t>numarchi</t>
        </is>
      </c>
      <c r="C119" s="22" t="inlineStr">
        <is>
          <t>@numarchi</t>
        </is>
      </c>
      <c r="D119" s="23" t="inlineStr">
        <is>
          <t>Enviado</t>
        </is>
      </c>
      <c r="E119" s="21" t="inlineStr">
        <is>
          <t>2026-05</t>
        </is>
      </c>
      <c r="F119" s="21" t="inlineStr">
        <is>
          <t>2026-05-12</t>
        </is>
      </c>
      <c r="G119" s="21" t="inlineStr">
        <is>
          <t>2026-05-12</t>
        </is>
      </c>
      <c r="H119" s="21" t="n">
        <v>1</v>
      </c>
      <c r="I119" s="21" t="n">
        <v>1</v>
      </c>
      <c r="J119" s="21" t="n">
        <v>0</v>
      </c>
      <c r="K119" s="21" t="n">
        <v>1</v>
      </c>
      <c r="L119" s="24" t="n">
        <v>0.12</v>
      </c>
      <c r="M119" s="25">
        <f>I119*Resumo!$C$6</f>
        <v/>
      </c>
      <c r="N119" s="25">
        <f>IF(I119&gt;0,Resumo!$C$7,0)</f>
        <v/>
      </c>
      <c r="O119" s="25">
        <f>M119+N119</f>
        <v/>
      </c>
      <c r="P119" s="21" t="n">
        <v>195</v>
      </c>
      <c r="Q119" s="25" t="n">
        <v>19126.62</v>
      </c>
      <c r="R119" s="25" t="n">
        <v>1493.48</v>
      </c>
      <c r="S119" s="25">
        <f>Q119*Resumo!$C$8</f>
        <v/>
      </c>
      <c r="T119" s="25">
        <f>S119-R119-O119</f>
        <v/>
      </c>
      <c r="U119" s="26">
        <f>IF(O119&gt;0,Q119/O119,0)</f>
        <v/>
      </c>
      <c r="V119" s="24">
        <f>IF(O119&gt;0,T119/O119,0)</f>
        <v/>
      </c>
    </row>
    <row r="120">
      <c r="A120" s="15" t="n">
        <v>119</v>
      </c>
      <c r="B120" s="16" t="inlineStr">
        <is>
          <t>Lu Januário</t>
        </is>
      </c>
      <c r="C120" s="16" t="inlineStr">
        <is>
          <t>@lucianajanuario_</t>
        </is>
      </c>
      <c r="D120" s="17" t="inlineStr">
        <is>
          <t>Enviado</t>
        </is>
      </c>
      <c r="E120" s="15" t="inlineStr">
        <is>
          <t>2026-05</t>
        </is>
      </c>
      <c r="F120" s="15" t="inlineStr">
        <is>
          <t>2026-05-12</t>
        </is>
      </c>
      <c r="G120" s="15" t="inlineStr">
        <is>
          <t>2026-05-12</t>
        </is>
      </c>
      <c r="H120" s="15" t="n">
        <v>1</v>
      </c>
      <c r="I120" s="15" t="n">
        <v>1</v>
      </c>
      <c r="J120" s="15" t="n">
        <v>0</v>
      </c>
      <c r="K120" s="15" t="n">
        <v>1</v>
      </c>
      <c r="L120" s="18" t="n">
        <v>0.08</v>
      </c>
      <c r="M120" s="19">
        <f>I120*Resumo!$C$6</f>
        <v/>
      </c>
      <c r="N120" s="19">
        <f>IF(I120&gt;0,Resumo!$C$7,0)</f>
        <v/>
      </c>
      <c r="O120" s="19">
        <f>M120+N120</f>
        <v/>
      </c>
      <c r="P120" s="15" t="n">
        <v>5</v>
      </c>
      <c r="Q120" s="19" t="n">
        <v>584.5</v>
      </c>
      <c r="R120" s="19" t="n">
        <v>46.75</v>
      </c>
      <c r="S120" s="19">
        <f>Q120*Resumo!$C$8</f>
        <v/>
      </c>
      <c r="T120" s="19">
        <f>S120-R120-O120</f>
        <v/>
      </c>
      <c r="U120" s="20">
        <f>IF(O120&gt;0,Q120/O120,0)</f>
        <v/>
      </c>
      <c r="V120" s="18">
        <f>IF(O120&gt;0,T120/O120,0)</f>
        <v/>
      </c>
    </row>
    <row r="121">
      <c r="A121" s="21" t="n">
        <v>120</v>
      </c>
      <c r="B121" s="22" t="inlineStr">
        <is>
          <t>karinaborbaa</t>
        </is>
      </c>
      <c r="C121" s="22" t="inlineStr">
        <is>
          <t>@karinaborbaa</t>
        </is>
      </c>
      <c r="D121" s="23" t="inlineStr">
        <is>
          <t>Enviado</t>
        </is>
      </c>
      <c r="E121" s="21" t="inlineStr">
        <is>
          <t>2026-05</t>
        </is>
      </c>
      <c r="F121" s="21" t="inlineStr">
        <is>
          <t>2026-05-12</t>
        </is>
      </c>
      <c r="G121" s="21" t="inlineStr">
        <is>
          <t>2026-05-12</t>
        </is>
      </c>
      <c r="H121" s="21" t="n">
        <v>4</v>
      </c>
      <c r="I121" s="21" t="n">
        <v>4</v>
      </c>
      <c r="J121" s="21" t="n">
        <v>0</v>
      </c>
      <c r="K121" s="21" t="n">
        <v>4</v>
      </c>
      <c r="L121" s="24" t="n">
        <v>0.08</v>
      </c>
      <c r="M121" s="25">
        <f>I121*Resumo!$C$6</f>
        <v/>
      </c>
      <c r="N121" s="25">
        <f>IF(I121&gt;0,Resumo!$C$7,0)</f>
        <v/>
      </c>
      <c r="O121" s="25">
        <f>M121+N121</f>
        <v/>
      </c>
      <c r="P121" s="21" t="n">
        <v>2</v>
      </c>
      <c r="Q121" s="25" t="n">
        <v>199.8</v>
      </c>
      <c r="R121" s="25" t="n">
        <v>0</v>
      </c>
      <c r="S121" s="25">
        <f>Q121*Resumo!$C$8</f>
        <v/>
      </c>
      <c r="T121" s="25">
        <f>S121-R121-O121</f>
        <v/>
      </c>
      <c r="U121" s="26">
        <f>IF(O121&gt;0,Q121/O121,0)</f>
        <v/>
      </c>
      <c r="V121" s="24">
        <f>IF(O121&gt;0,T121/O121,0)</f>
        <v/>
      </c>
    </row>
    <row r="122">
      <c r="A122" s="15" t="n">
        <v>121</v>
      </c>
      <c r="B122" s="16" t="inlineStr">
        <is>
          <t>Cristiane cesário</t>
        </is>
      </c>
      <c r="C122" s="16" t="inlineStr">
        <is>
          <t>@cristianecesarioo</t>
        </is>
      </c>
      <c r="D122" s="17" t="inlineStr">
        <is>
          <t>Enviado</t>
        </is>
      </c>
      <c r="E122" s="15" t="inlineStr">
        <is>
          <t>2026-05</t>
        </is>
      </c>
      <c r="F122" s="15" t="inlineStr">
        <is>
          <t>2026-05-12</t>
        </is>
      </c>
      <c r="G122" s="15" t="inlineStr">
        <is>
          <t>2026-05-25</t>
        </is>
      </c>
      <c r="H122" s="15" t="n">
        <v>3</v>
      </c>
      <c r="I122" s="15" t="n">
        <v>3</v>
      </c>
      <c r="J122" s="15" t="n">
        <v>0</v>
      </c>
      <c r="K122" s="15" t="n">
        <v>2</v>
      </c>
      <c r="L122" s="18" t="n">
        <v>0.08</v>
      </c>
      <c r="M122" s="19">
        <f>I122*Resumo!$C$6</f>
        <v/>
      </c>
      <c r="N122" s="19">
        <f>IF(I122&gt;0,Resumo!$C$7,0)</f>
        <v/>
      </c>
      <c r="O122" s="19">
        <f>M122+N122</f>
        <v/>
      </c>
      <c r="P122" s="15" t="n">
        <v>0</v>
      </c>
      <c r="Q122" s="19" t="n">
        <v>0</v>
      </c>
      <c r="R122" s="19" t="n">
        <v>0</v>
      </c>
      <c r="S122" s="19">
        <f>Q122*Resumo!$C$8</f>
        <v/>
      </c>
      <c r="T122" s="19">
        <f>S122-R122-O122</f>
        <v/>
      </c>
      <c r="U122" s="20">
        <f>IF(O122&gt;0,Q122/O122,0)</f>
        <v/>
      </c>
      <c r="V122" s="18">
        <f>IF(O122&gt;0,T122/O122,0)</f>
        <v/>
      </c>
    </row>
    <row r="123">
      <c r="A123" s="21" t="n">
        <v>122</v>
      </c>
      <c r="B123" s="22" t="inlineStr">
        <is>
          <t>Duda Oliveira UGC • Tiktokshop</t>
        </is>
      </c>
      <c r="C123" s="22" t="inlineStr">
        <is>
          <t>@oi.dudaoliveira</t>
        </is>
      </c>
      <c r="D123" s="23" t="inlineStr">
        <is>
          <t>Enviado</t>
        </is>
      </c>
      <c r="E123" s="21" t="inlineStr">
        <is>
          <t>2026-05</t>
        </is>
      </c>
      <c r="F123" s="21" t="inlineStr">
        <is>
          <t>2026-05-12</t>
        </is>
      </c>
      <c r="G123" s="21" t="inlineStr">
        <is>
          <t>2026-05-12</t>
        </is>
      </c>
      <c r="H123" s="21" t="n">
        <v>1</v>
      </c>
      <c r="I123" s="21" t="n">
        <v>1</v>
      </c>
      <c r="J123" s="21" t="n">
        <v>0</v>
      </c>
      <c r="K123" s="21" t="n">
        <v>1</v>
      </c>
      <c r="L123" s="24" t="n">
        <v>0.08</v>
      </c>
      <c r="M123" s="25">
        <f>I123*Resumo!$C$6</f>
        <v/>
      </c>
      <c r="N123" s="25">
        <f>IF(I123&gt;0,Resumo!$C$7,0)</f>
        <v/>
      </c>
      <c r="O123" s="25">
        <f>M123+N123</f>
        <v/>
      </c>
      <c r="P123" s="21" t="n">
        <v>0</v>
      </c>
      <c r="Q123" s="25" t="n">
        <v>0</v>
      </c>
      <c r="R123" s="25" t="n">
        <v>0</v>
      </c>
      <c r="S123" s="25">
        <f>Q123*Resumo!$C$8</f>
        <v/>
      </c>
      <c r="T123" s="25">
        <f>S123-R123-O123</f>
        <v/>
      </c>
      <c r="U123" s="26">
        <f>IF(O123&gt;0,Q123/O123,0)</f>
        <v/>
      </c>
      <c r="V123" s="24">
        <f>IF(O123&gt;0,T123/O123,0)</f>
        <v/>
      </c>
    </row>
    <row r="124">
      <c r="A124" s="15" t="n">
        <v>123</v>
      </c>
      <c r="B124" s="16" t="inlineStr">
        <is>
          <t>Keyla Braga</t>
        </is>
      </c>
      <c r="C124" s="16" t="inlineStr">
        <is>
          <t>@keylasbraga</t>
        </is>
      </c>
      <c r="D124" s="17" t="inlineStr">
        <is>
          <t>Enviado</t>
        </is>
      </c>
      <c r="E124" s="15" t="inlineStr">
        <is>
          <t>2026-05</t>
        </is>
      </c>
      <c r="F124" s="15" t="inlineStr">
        <is>
          <t>2026-05-13</t>
        </is>
      </c>
      <c r="G124" s="15" t="inlineStr">
        <is>
          <t>2026-05-13</t>
        </is>
      </c>
      <c r="H124" s="15" t="n">
        <v>1</v>
      </c>
      <c r="I124" s="15" t="n">
        <v>1</v>
      </c>
      <c r="J124" s="15" t="n">
        <v>0</v>
      </c>
      <c r="K124" s="15" t="n">
        <v>1</v>
      </c>
      <c r="L124" s="18" t="n">
        <v>0.08</v>
      </c>
      <c r="M124" s="19">
        <f>I124*Resumo!$C$6</f>
        <v/>
      </c>
      <c r="N124" s="19">
        <f>IF(I124&gt;0,Resumo!$C$7,0)</f>
        <v/>
      </c>
      <c r="O124" s="19">
        <f>M124+N124</f>
        <v/>
      </c>
      <c r="P124" s="15" t="n">
        <v>30</v>
      </c>
      <c r="Q124" s="19" t="n">
        <v>3287</v>
      </c>
      <c r="R124" s="19" t="n">
        <v>107.43</v>
      </c>
      <c r="S124" s="19">
        <f>Q124*Resumo!$C$8</f>
        <v/>
      </c>
      <c r="T124" s="19">
        <f>S124-R124-O124</f>
        <v/>
      </c>
      <c r="U124" s="20">
        <f>IF(O124&gt;0,Q124/O124,0)</f>
        <v/>
      </c>
      <c r="V124" s="18">
        <f>IF(O124&gt;0,T124/O124,0)</f>
        <v/>
      </c>
    </row>
    <row r="125">
      <c r="A125" s="21" t="n">
        <v>124</v>
      </c>
      <c r="B125" s="22" t="inlineStr">
        <is>
          <t>𝗙𝗮𝗳𝗮</t>
        </is>
      </c>
      <c r="C125" s="22" t="inlineStr">
        <is>
          <t>@fabrineneres</t>
        </is>
      </c>
      <c r="D125" s="23" t="inlineStr">
        <is>
          <t>Enviado</t>
        </is>
      </c>
      <c r="E125" s="21" t="inlineStr">
        <is>
          <t>2026-05</t>
        </is>
      </c>
      <c r="F125" s="21" t="inlineStr">
        <is>
          <t>2026-05-13</t>
        </is>
      </c>
      <c r="G125" s="21" t="inlineStr">
        <is>
          <t>2026-05-13</t>
        </is>
      </c>
      <c r="H125" s="21" t="n">
        <v>3</v>
      </c>
      <c r="I125" s="21" t="n">
        <v>3</v>
      </c>
      <c r="J125" s="21" t="n">
        <v>0</v>
      </c>
      <c r="K125" s="21" t="n">
        <v>3</v>
      </c>
      <c r="L125" s="24" t="n">
        <v>0.08</v>
      </c>
      <c r="M125" s="25">
        <f>I125*Resumo!$C$6</f>
        <v/>
      </c>
      <c r="N125" s="25">
        <f>IF(I125&gt;0,Resumo!$C$7,0)</f>
        <v/>
      </c>
      <c r="O125" s="25">
        <f>M125+N125</f>
        <v/>
      </c>
      <c r="P125" s="21" t="n">
        <v>0</v>
      </c>
      <c r="Q125" s="25" t="n">
        <v>0</v>
      </c>
      <c r="R125" s="25" t="n">
        <v>0</v>
      </c>
      <c r="S125" s="25">
        <f>Q125*Resumo!$C$8</f>
        <v/>
      </c>
      <c r="T125" s="25">
        <f>S125-R125-O125</f>
        <v/>
      </c>
      <c r="U125" s="26">
        <f>IF(O125&gt;0,Q125/O125,0)</f>
        <v/>
      </c>
      <c r="V125" s="24">
        <f>IF(O125&gt;0,T125/O125,0)</f>
        <v/>
      </c>
    </row>
    <row r="126">
      <c r="A126" s="15" t="n">
        <v>125</v>
      </c>
      <c r="B126" s="16" t="inlineStr">
        <is>
          <t>Jana Kize</t>
        </is>
      </c>
      <c r="C126" s="16" t="inlineStr">
        <is>
          <t>@janainakize</t>
        </is>
      </c>
      <c r="D126" s="17" t="inlineStr">
        <is>
          <t>Enviado</t>
        </is>
      </c>
      <c r="E126" s="15" t="inlineStr">
        <is>
          <t>2026-05</t>
        </is>
      </c>
      <c r="F126" s="15" t="inlineStr">
        <is>
          <t>2026-05-13</t>
        </is>
      </c>
      <c r="G126" s="15" t="inlineStr">
        <is>
          <t>2026-05-13</t>
        </is>
      </c>
      <c r="H126" s="15" t="n">
        <v>3</v>
      </c>
      <c r="I126" s="15" t="n">
        <v>3</v>
      </c>
      <c r="J126" s="15" t="n">
        <v>0</v>
      </c>
      <c r="K126" s="15" t="n">
        <v>3</v>
      </c>
      <c r="L126" s="18" t="n">
        <v>0.08</v>
      </c>
      <c r="M126" s="19">
        <f>I126*Resumo!$C$6</f>
        <v/>
      </c>
      <c r="N126" s="19">
        <f>IF(I126&gt;0,Resumo!$C$7,0)</f>
        <v/>
      </c>
      <c r="O126" s="19">
        <f>M126+N126</f>
        <v/>
      </c>
      <c r="P126" s="15" t="n">
        <v>0</v>
      </c>
      <c r="Q126" s="19" t="n">
        <v>0</v>
      </c>
      <c r="R126" s="19" t="n">
        <v>0</v>
      </c>
      <c r="S126" s="19">
        <f>Q126*Resumo!$C$8</f>
        <v/>
      </c>
      <c r="T126" s="19">
        <f>S126-R126-O126</f>
        <v/>
      </c>
      <c r="U126" s="20">
        <f>IF(O126&gt;0,Q126/O126,0)</f>
        <v/>
      </c>
      <c r="V126" s="18">
        <f>IF(O126&gt;0,T126/O126,0)</f>
        <v/>
      </c>
    </row>
    <row r="127">
      <c r="A127" s="21" t="n">
        <v>126</v>
      </c>
      <c r="B127" s="22" t="inlineStr">
        <is>
          <t>Rafa Michelutti</t>
        </is>
      </c>
      <c r="C127" s="22" t="inlineStr">
        <is>
          <t>@rafamichelutticreator</t>
        </is>
      </c>
      <c r="D127" s="23" t="inlineStr">
        <is>
          <t>Enviado</t>
        </is>
      </c>
      <c r="E127" s="21" t="inlineStr">
        <is>
          <t>2026-05</t>
        </is>
      </c>
      <c r="F127" s="21" t="inlineStr">
        <is>
          <t>2026-05-13</t>
        </is>
      </c>
      <c r="G127" s="21" t="inlineStr">
        <is>
          <t>2026-05-13</t>
        </is>
      </c>
      <c r="H127" s="21" t="n">
        <v>2</v>
      </c>
      <c r="I127" s="21" t="n">
        <v>2</v>
      </c>
      <c r="J127" s="21" t="n">
        <v>0</v>
      </c>
      <c r="K127" s="21" t="n">
        <v>2</v>
      </c>
      <c r="L127" s="24" t="n">
        <v>0.08</v>
      </c>
      <c r="M127" s="25">
        <f>I127*Resumo!$C$6</f>
        <v/>
      </c>
      <c r="N127" s="25">
        <f>IF(I127&gt;0,Resumo!$C$7,0)</f>
        <v/>
      </c>
      <c r="O127" s="25">
        <f>M127+N127</f>
        <v/>
      </c>
      <c r="P127" s="21" t="n">
        <v>0</v>
      </c>
      <c r="Q127" s="25" t="n">
        <v>0</v>
      </c>
      <c r="R127" s="25" t="n">
        <v>0</v>
      </c>
      <c r="S127" s="25">
        <f>Q127*Resumo!$C$8</f>
        <v/>
      </c>
      <c r="T127" s="25">
        <f>S127-R127-O127</f>
        <v/>
      </c>
      <c r="U127" s="26">
        <f>IF(O127&gt;0,Q127/O127,0)</f>
        <v/>
      </c>
      <c r="V127" s="24">
        <f>IF(O127&gt;0,T127/O127,0)</f>
        <v/>
      </c>
    </row>
    <row r="128">
      <c r="A128" s="15" t="n">
        <v>127</v>
      </c>
      <c r="B128" s="16" t="inlineStr">
        <is>
          <t>Rosa Cesarino</t>
        </is>
      </c>
      <c r="C128" s="16" t="inlineStr">
        <is>
          <t>@rosaacesariinoo</t>
        </is>
      </c>
      <c r="D128" s="17" t="inlineStr">
        <is>
          <t>Enviado</t>
        </is>
      </c>
      <c r="E128" s="15" t="inlineStr">
        <is>
          <t>2026-05</t>
        </is>
      </c>
      <c r="F128" s="15" t="inlineStr">
        <is>
          <t>2026-05-13</t>
        </is>
      </c>
      <c r="G128" s="15" t="inlineStr">
        <is>
          <t>2026-05-13</t>
        </is>
      </c>
      <c r="H128" s="15" t="n">
        <v>1</v>
      </c>
      <c r="I128" s="15" t="n">
        <v>1</v>
      </c>
      <c r="J128" s="15" t="n">
        <v>0</v>
      </c>
      <c r="K128" s="15" t="n">
        <v>1</v>
      </c>
      <c r="L128" s="18" t="n">
        <v>0.08</v>
      </c>
      <c r="M128" s="19">
        <f>I128*Resumo!$C$6</f>
        <v/>
      </c>
      <c r="N128" s="19">
        <f>IF(I128&gt;0,Resumo!$C$7,0)</f>
        <v/>
      </c>
      <c r="O128" s="19">
        <f>M128+N128</f>
        <v/>
      </c>
      <c r="P128" s="15" t="n">
        <v>0</v>
      </c>
      <c r="Q128" s="19" t="n">
        <v>0</v>
      </c>
      <c r="R128" s="19" t="n">
        <v>0</v>
      </c>
      <c r="S128" s="19">
        <f>Q128*Resumo!$C$8</f>
        <v/>
      </c>
      <c r="T128" s="19">
        <f>S128-R128-O128</f>
        <v/>
      </c>
      <c r="U128" s="20">
        <f>IF(O128&gt;0,Q128/O128,0)</f>
        <v/>
      </c>
      <c r="V128" s="18">
        <f>IF(O128&gt;0,T128/O128,0)</f>
        <v/>
      </c>
    </row>
    <row r="129">
      <c r="A129" s="21" t="n">
        <v>128</v>
      </c>
      <c r="B129" s="22" t="inlineStr">
        <is>
          <t>Van 🦋</t>
        </is>
      </c>
      <c r="C129" s="22" t="inlineStr">
        <is>
          <t>@vandaily1</t>
        </is>
      </c>
      <c r="D129" s="23" t="inlineStr">
        <is>
          <t>Enviado</t>
        </is>
      </c>
      <c r="E129" s="21" t="inlineStr">
        <is>
          <t>2026-05</t>
        </is>
      </c>
      <c r="F129" s="21" t="inlineStr">
        <is>
          <t>2026-05-13</t>
        </is>
      </c>
      <c r="G129" s="21" t="inlineStr">
        <is>
          <t>2026-05-13</t>
        </is>
      </c>
      <c r="H129" s="21" t="n">
        <v>2</v>
      </c>
      <c r="I129" s="21" t="n">
        <v>2</v>
      </c>
      <c r="J129" s="21" t="n">
        <v>0</v>
      </c>
      <c r="K129" s="21" t="n">
        <v>2</v>
      </c>
      <c r="L129" s="24" t="n">
        <v>0.08</v>
      </c>
      <c r="M129" s="25">
        <f>I129*Resumo!$C$6</f>
        <v/>
      </c>
      <c r="N129" s="25">
        <f>IF(I129&gt;0,Resumo!$C$7,0)</f>
        <v/>
      </c>
      <c r="O129" s="25">
        <f>M129+N129</f>
        <v/>
      </c>
      <c r="P129" s="21" t="n">
        <v>0</v>
      </c>
      <c r="Q129" s="25" t="n">
        <v>0</v>
      </c>
      <c r="R129" s="25" t="n">
        <v>0</v>
      </c>
      <c r="S129" s="25">
        <f>Q129*Resumo!$C$8</f>
        <v/>
      </c>
      <c r="T129" s="25">
        <f>S129-R129-O129</f>
        <v/>
      </c>
      <c r="U129" s="26">
        <f>IF(O129&gt;0,Q129/O129,0)</f>
        <v/>
      </c>
      <c r="V129" s="24">
        <f>IF(O129&gt;0,T129/O129,0)</f>
        <v/>
      </c>
    </row>
    <row r="130">
      <c r="A130" s="15" t="n">
        <v>129</v>
      </c>
      <c r="B130" s="16" t="inlineStr">
        <is>
          <t>jackmundomabu</t>
        </is>
      </c>
      <c r="C130" s="16" t="inlineStr">
        <is>
          <t>@jackmundomabu</t>
        </is>
      </c>
      <c r="D130" s="17" t="inlineStr">
        <is>
          <t>Enviado</t>
        </is>
      </c>
      <c r="E130" s="15" t="inlineStr">
        <is>
          <t>2026-05</t>
        </is>
      </c>
      <c r="F130" s="15" t="inlineStr">
        <is>
          <t>2026-05-14</t>
        </is>
      </c>
      <c r="G130" s="15" t="inlineStr">
        <is>
          <t>2026-05-14</t>
        </is>
      </c>
      <c r="H130" s="15" t="n">
        <v>1</v>
      </c>
      <c r="I130" s="15" t="n">
        <v>1</v>
      </c>
      <c r="J130" s="15" t="n">
        <v>0</v>
      </c>
      <c r="K130" s="15" t="n">
        <v>1</v>
      </c>
      <c r="L130" s="18" t="n">
        <v>0.08</v>
      </c>
      <c r="M130" s="19">
        <f>I130*Resumo!$C$6</f>
        <v/>
      </c>
      <c r="N130" s="19">
        <f>IF(I130&gt;0,Resumo!$C$7,0)</f>
        <v/>
      </c>
      <c r="O130" s="19">
        <f>M130+N130</f>
        <v/>
      </c>
      <c r="P130" s="15" t="n">
        <v>1</v>
      </c>
      <c r="Q130" s="19" t="n">
        <v>99.90000000000001</v>
      </c>
      <c r="R130" s="19" t="n">
        <v>7.99</v>
      </c>
      <c r="S130" s="19">
        <f>Q130*Resumo!$C$8</f>
        <v/>
      </c>
      <c r="T130" s="19">
        <f>S130-R130-O130</f>
        <v/>
      </c>
      <c r="U130" s="20">
        <f>IF(O130&gt;0,Q130/O130,0)</f>
        <v/>
      </c>
      <c r="V130" s="18">
        <f>IF(O130&gt;0,T130/O130,0)</f>
        <v/>
      </c>
    </row>
    <row r="131">
      <c r="A131" s="21" t="n">
        <v>130</v>
      </c>
      <c r="B131" s="22" t="inlineStr">
        <is>
          <t>Naiara Silva</t>
        </is>
      </c>
      <c r="C131" s="22" t="inlineStr">
        <is>
          <t>@silvnaiara</t>
        </is>
      </c>
      <c r="D131" s="23" t="inlineStr">
        <is>
          <t>Enviado</t>
        </is>
      </c>
      <c r="E131" s="21" t="inlineStr">
        <is>
          <t>2026-05</t>
        </is>
      </c>
      <c r="F131" s="21" t="inlineStr">
        <is>
          <t>2026-05-14</t>
        </is>
      </c>
      <c r="G131" s="21" t="inlineStr">
        <is>
          <t>2026-05-14</t>
        </is>
      </c>
      <c r="H131" s="21" t="n">
        <v>1</v>
      </c>
      <c r="I131" s="21" t="n">
        <v>1</v>
      </c>
      <c r="J131" s="21" t="n">
        <v>0</v>
      </c>
      <c r="K131" s="21" t="n">
        <v>1</v>
      </c>
      <c r="L131" s="24" t="n">
        <v>0.08</v>
      </c>
      <c r="M131" s="25">
        <f>I131*Resumo!$C$6</f>
        <v/>
      </c>
      <c r="N131" s="25">
        <f>IF(I131&gt;0,Resumo!$C$7,0)</f>
        <v/>
      </c>
      <c r="O131" s="25">
        <f>M131+N131</f>
        <v/>
      </c>
      <c r="P131" s="21" t="n">
        <v>0</v>
      </c>
      <c r="Q131" s="25" t="n">
        <v>0</v>
      </c>
      <c r="R131" s="25" t="n">
        <v>0</v>
      </c>
      <c r="S131" s="25">
        <f>Q131*Resumo!$C$8</f>
        <v/>
      </c>
      <c r="T131" s="25">
        <f>S131-R131-O131</f>
        <v/>
      </c>
      <c r="U131" s="26">
        <f>IF(O131&gt;0,Q131/O131,0)</f>
        <v/>
      </c>
      <c r="V131" s="24">
        <f>IF(O131&gt;0,T131/O131,0)</f>
        <v/>
      </c>
    </row>
    <row r="132">
      <c r="A132" s="15" t="n">
        <v>131</v>
      </c>
      <c r="B132" s="16" t="inlineStr">
        <is>
          <t>Tania Ribeiro</t>
        </is>
      </c>
      <c r="C132" s="16" t="inlineStr">
        <is>
          <t>@taniaribeiro_creator</t>
        </is>
      </c>
      <c r="D132" s="17" t="inlineStr">
        <is>
          <t>Enviado</t>
        </is>
      </c>
      <c r="E132" s="15" t="inlineStr">
        <is>
          <t>2026-05</t>
        </is>
      </c>
      <c r="F132" s="15" t="inlineStr">
        <is>
          <t>2026-05-15</t>
        </is>
      </c>
      <c r="G132" s="15" t="inlineStr">
        <is>
          <t>2026-05-15</t>
        </is>
      </c>
      <c r="H132" s="15" t="n">
        <v>3</v>
      </c>
      <c r="I132" s="15" t="n">
        <v>3</v>
      </c>
      <c r="J132" s="15" t="n">
        <v>0</v>
      </c>
      <c r="K132" s="15" t="n">
        <v>3</v>
      </c>
      <c r="L132" s="18" t="n">
        <v>0.08</v>
      </c>
      <c r="M132" s="19">
        <f>I132*Resumo!$C$6</f>
        <v/>
      </c>
      <c r="N132" s="19">
        <f>IF(I132&gt;0,Resumo!$C$7,0)</f>
        <v/>
      </c>
      <c r="O132" s="19">
        <f>M132+N132</f>
        <v/>
      </c>
      <c r="P132" s="15" t="n">
        <v>1</v>
      </c>
      <c r="Q132" s="19" t="n">
        <v>89.90000000000001</v>
      </c>
      <c r="R132" s="19" t="n">
        <v>7.19</v>
      </c>
      <c r="S132" s="19">
        <f>Q132*Resumo!$C$8</f>
        <v/>
      </c>
      <c r="T132" s="19">
        <f>S132-R132-O132</f>
        <v/>
      </c>
      <c r="U132" s="20">
        <f>IF(O132&gt;0,Q132/O132,0)</f>
        <v/>
      </c>
      <c r="V132" s="18">
        <f>IF(O132&gt;0,T132/O132,0)</f>
        <v/>
      </c>
    </row>
    <row r="133">
      <c r="A133" s="21" t="n">
        <v>132</v>
      </c>
      <c r="B133" s="22" t="inlineStr">
        <is>
          <t>Lígia Dourado</t>
        </is>
      </c>
      <c r="C133" s="22" t="inlineStr">
        <is>
          <t>@_ligiadourado</t>
        </is>
      </c>
      <c r="D133" s="23" t="inlineStr">
        <is>
          <t>Enviado</t>
        </is>
      </c>
      <c r="E133" s="21" t="inlineStr">
        <is>
          <t>2026-05</t>
        </is>
      </c>
      <c r="F133" s="21" t="inlineStr">
        <is>
          <t>2026-05-19</t>
        </is>
      </c>
      <c r="G133" s="21" t="inlineStr">
        <is>
          <t>2026-05-19</t>
        </is>
      </c>
      <c r="H133" s="21" t="n">
        <v>4</v>
      </c>
      <c r="I133" s="21" t="n">
        <v>2</v>
      </c>
      <c r="J133" s="21" t="n">
        <v>2</v>
      </c>
      <c r="K133" s="21" t="n">
        <v>2</v>
      </c>
      <c r="L133" s="24" t="n">
        <v>0.08</v>
      </c>
      <c r="M133" s="25">
        <f>I133*Resumo!$C$6</f>
        <v/>
      </c>
      <c r="N133" s="25">
        <f>IF(I133&gt;0,Resumo!$C$7,0)</f>
        <v/>
      </c>
      <c r="O133" s="25">
        <f>M133+N133</f>
        <v/>
      </c>
      <c r="P133" s="21" t="n">
        <v>1</v>
      </c>
      <c r="Q133" s="25" t="n">
        <v>99.90000000000001</v>
      </c>
      <c r="R133" s="25" t="n">
        <v>8.49</v>
      </c>
      <c r="S133" s="25">
        <f>Q133*Resumo!$C$8</f>
        <v/>
      </c>
      <c r="T133" s="25">
        <f>S133-R133-O133</f>
        <v/>
      </c>
      <c r="U133" s="26">
        <f>IF(O133&gt;0,Q133/O133,0)</f>
        <v/>
      </c>
      <c r="V133" s="24">
        <f>IF(O133&gt;0,T133/O133,0)</f>
        <v/>
      </c>
    </row>
    <row r="134">
      <c r="A134" s="15" t="n">
        <v>133</v>
      </c>
      <c r="B134" s="16" t="inlineStr">
        <is>
          <t>danielandias</t>
        </is>
      </c>
      <c r="C134" s="16" t="inlineStr">
        <is>
          <t>@danielandias</t>
        </is>
      </c>
      <c r="D134" s="17" t="inlineStr">
        <is>
          <t>Enviado</t>
        </is>
      </c>
      <c r="E134" s="15" t="inlineStr">
        <is>
          <t>2026-05</t>
        </is>
      </c>
      <c r="F134" s="15" t="inlineStr">
        <is>
          <t>2026-05-21</t>
        </is>
      </c>
      <c r="G134" s="15" t="inlineStr">
        <is>
          <t>2026-05-21</t>
        </is>
      </c>
      <c r="H134" s="15" t="n">
        <v>3</v>
      </c>
      <c r="I134" s="15" t="n">
        <v>1</v>
      </c>
      <c r="J134" s="15" t="n">
        <v>2</v>
      </c>
      <c r="K134" s="15" t="n">
        <v>2</v>
      </c>
      <c r="L134" s="18" t="n">
        <v>0.08</v>
      </c>
      <c r="M134" s="19">
        <f>I134*Resumo!$C$6</f>
        <v/>
      </c>
      <c r="N134" s="19">
        <f>IF(I134&gt;0,Resumo!$C$7,0)</f>
        <v/>
      </c>
      <c r="O134" s="19">
        <f>M134+N134</f>
        <v/>
      </c>
      <c r="P134" s="15" t="n">
        <v>0</v>
      </c>
      <c r="Q134" s="19" t="n">
        <v>0</v>
      </c>
      <c r="R134" s="19" t="n">
        <v>0</v>
      </c>
      <c r="S134" s="19">
        <f>Q134*Resumo!$C$8</f>
        <v/>
      </c>
      <c r="T134" s="19">
        <f>S134-R134-O134</f>
        <v/>
      </c>
      <c r="U134" s="20">
        <f>IF(O134&gt;0,Q134/O134,0)</f>
        <v/>
      </c>
      <c r="V134" s="18">
        <f>IF(O134&gt;0,T134/O134,0)</f>
        <v/>
      </c>
    </row>
    <row r="135">
      <c r="A135" s="21" t="n">
        <v>134</v>
      </c>
      <c r="B135" s="22" t="inlineStr">
        <is>
          <t>Bella</t>
        </is>
      </c>
      <c r="C135" s="22" t="inlineStr">
        <is>
          <t>@bellafonse</t>
        </is>
      </c>
      <c r="D135" s="23" t="inlineStr">
        <is>
          <t>Enviado</t>
        </is>
      </c>
      <c r="E135" s="21" t="inlineStr">
        <is>
          <t>2026-06</t>
        </is>
      </c>
      <c r="F135" s="21" t="inlineStr">
        <is>
          <t>2026-06-02</t>
        </is>
      </c>
      <c r="G135" s="21" t="inlineStr">
        <is>
          <t>2026-06-02</t>
        </is>
      </c>
      <c r="H135" s="21" t="n">
        <v>2</v>
      </c>
      <c r="I135" s="21" t="n">
        <v>2</v>
      </c>
      <c r="J135" s="21" t="n">
        <v>0</v>
      </c>
      <c r="K135" s="21" t="n">
        <v>2</v>
      </c>
      <c r="L135" s="24" t="n">
        <v>0.08</v>
      </c>
      <c r="M135" s="25">
        <f>I135*Resumo!$C$6</f>
        <v/>
      </c>
      <c r="N135" s="25">
        <f>IF(I135&gt;0,Resumo!$C$7,0)</f>
        <v/>
      </c>
      <c r="O135" s="25">
        <f>M135+N135</f>
        <v/>
      </c>
      <c r="P135" s="21" t="n">
        <v>3</v>
      </c>
      <c r="Q135" s="25" t="n">
        <v>324.2</v>
      </c>
      <c r="R135" s="25" t="n">
        <v>25.93</v>
      </c>
      <c r="S135" s="25">
        <f>Q135*Resumo!$C$8</f>
        <v/>
      </c>
      <c r="T135" s="25">
        <f>S135-R135-O135</f>
        <v/>
      </c>
      <c r="U135" s="26">
        <f>IF(O135&gt;0,Q135/O135,0)</f>
        <v/>
      </c>
      <c r="V135" s="24">
        <f>IF(O135&gt;0,T135/O135,0)</f>
        <v/>
      </c>
    </row>
    <row r="136">
      <c r="A136" s="15" t="n">
        <v>135</v>
      </c>
      <c r="B136" s="16" t="inlineStr">
        <is>
          <t>Jessica Tanara</t>
        </is>
      </c>
      <c r="C136" s="16" t="inlineStr">
        <is>
          <t>@jessicatanara1</t>
        </is>
      </c>
      <c r="D136" s="17" t="inlineStr">
        <is>
          <t>Enviado</t>
        </is>
      </c>
      <c r="E136" s="15" t="inlineStr">
        <is>
          <t>2026-06</t>
        </is>
      </c>
      <c r="F136" s="15" t="inlineStr">
        <is>
          <t>2026-06-02</t>
        </is>
      </c>
      <c r="G136" s="15" t="inlineStr">
        <is>
          <t>2026-06-02</t>
        </is>
      </c>
      <c r="H136" s="15" t="n">
        <v>4</v>
      </c>
      <c r="I136" s="15" t="n">
        <v>4</v>
      </c>
      <c r="J136" s="15" t="n">
        <v>0</v>
      </c>
      <c r="K136" s="15" t="n">
        <v>3</v>
      </c>
      <c r="L136" s="18" t="n">
        <v>0.08</v>
      </c>
      <c r="M136" s="19">
        <f>I136*Resumo!$C$6</f>
        <v/>
      </c>
      <c r="N136" s="19">
        <f>IF(I136&gt;0,Resumo!$C$7,0)</f>
        <v/>
      </c>
      <c r="O136" s="19">
        <f>M136+N136</f>
        <v/>
      </c>
      <c r="P136" s="15" t="n">
        <v>1</v>
      </c>
      <c r="Q136" s="19" t="n">
        <v>89.90000000000001</v>
      </c>
      <c r="R136" s="19" t="n">
        <v>7.19</v>
      </c>
      <c r="S136" s="19">
        <f>Q136*Resumo!$C$8</f>
        <v/>
      </c>
      <c r="T136" s="19">
        <f>S136-R136-O136</f>
        <v/>
      </c>
      <c r="U136" s="20">
        <f>IF(O136&gt;0,Q136/O136,0)</f>
        <v/>
      </c>
      <c r="V136" s="18">
        <f>IF(O136&gt;0,T136/O136,0)</f>
        <v/>
      </c>
    </row>
    <row r="137">
      <c r="A137" s="27" t="n">
        <v>136</v>
      </c>
      <c r="B137" s="28" t="inlineStr">
        <is>
          <t>Ammelly</t>
        </is>
      </c>
      <c r="C137" s="28" t="inlineStr">
        <is>
          <t>@alencarnrh</t>
        </is>
      </c>
      <c r="D137" s="29" t="inlineStr">
        <is>
          <t>Nada enviado</t>
        </is>
      </c>
      <c r="E137" s="27" t="inlineStr">
        <is>
          <t>2026-06</t>
        </is>
      </c>
      <c r="F137" s="27" t="inlineStr">
        <is>
          <t>2026-06-02</t>
        </is>
      </c>
      <c r="G137" s="27" t="inlineStr">
        <is>
          <t>2026-06-02</t>
        </is>
      </c>
      <c r="H137" s="27" t="n">
        <v>1</v>
      </c>
      <c r="I137" s="27" t="n">
        <v>0</v>
      </c>
      <c r="J137" s="27" t="n">
        <v>1</v>
      </c>
      <c r="K137" s="27" t="n">
        <v>1</v>
      </c>
      <c r="L137" s="30" t="n">
        <v>0.08</v>
      </c>
      <c r="M137" s="31">
        <f>I137*Resumo!$C$6</f>
        <v/>
      </c>
      <c r="N137" s="31">
        <f>IF(I137&gt;0,Resumo!$C$7,0)</f>
        <v/>
      </c>
      <c r="O137" s="31">
        <f>M137+N137</f>
        <v/>
      </c>
      <c r="P137" s="27" t="n">
        <v>0</v>
      </c>
      <c r="Q137" s="31" t="n">
        <v>0</v>
      </c>
      <c r="R137" s="31" t="n">
        <v>0</v>
      </c>
      <c r="S137" s="31">
        <f>Q137*Resumo!$C$8</f>
        <v/>
      </c>
      <c r="T137" s="31">
        <f>S137-R137-O137</f>
        <v/>
      </c>
      <c r="U137" s="32">
        <f>IF(O137&gt;0,Q137/O137,0)</f>
        <v/>
      </c>
      <c r="V137" s="30">
        <f>IF(O137&gt;0,T137/O137,0)</f>
        <v/>
      </c>
    </row>
    <row r="138">
      <c r="A138" s="15" t="n">
        <v>137</v>
      </c>
      <c r="B138" s="16" t="inlineStr">
        <is>
          <t>Lanna Murielly</t>
        </is>
      </c>
      <c r="C138" s="16" t="inlineStr">
        <is>
          <t>@lannamurielly</t>
        </is>
      </c>
      <c r="D138" s="17" t="inlineStr">
        <is>
          <t>Enviado</t>
        </is>
      </c>
      <c r="E138" s="15" t="inlineStr">
        <is>
          <t>2026-06</t>
        </is>
      </c>
      <c r="F138" s="15" t="inlineStr">
        <is>
          <t>2026-06-02</t>
        </is>
      </c>
      <c r="G138" s="15" t="inlineStr">
        <is>
          <t>2026-06-02</t>
        </is>
      </c>
      <c r="H138" s="15" t="n">
        <v>1</v>
      </c>
      <c r="I138" s="15" t="n">
        <v>1</v>
      </c>
      <c r="J138" s="15" t="n">
        <v>0</v>
      </c>
      <c r="K138" s="15" t="n">
        <v>1</v>
      </c>
      <c r="L138" s="18" t="n">
        <v>0.08</v>
      </c>
      <c r="M138" s="19">
        <f>I138*Resumo!$C$6</f>
        <v/>
      </c>
      <c r="N138" s="19">
        <f>IF(I138&gt;0,Resumo!$C$7,0)</f>
        <v/>
      </c>
      <c r="O138" s="19">
        <f>M138+N138</f>
        <v/>
      </c>
      <c r="P138" s="15" t="n">
        <v>0</v>
      </c>
      <c r="Q138" s="19" t="n">
        <v>0</v>
      </c>
      <c r="R138" s="19" t="n">
        <v>0</v>
      </c>
      <c r="S138" s="19">
        <f>Q138*Resumo!$C$8</f>
        <v/>
      </c>
      <c r="T138" s="19">
        <f>S138-R138-O138</f>
        <v/>
      </c>
      <c r="U138" s="20">
        <f>IF(O138&gt;0,Q138/O138,0)</f>
        <v/>
      </c>
      <c r="V138" s="18">
        <f>IF(O138&gt;0,T138/O138,0)</f>
        <v/>
      </c>
    </row>
    <row r="139">
      <c r="A139" s="21" t="n">
        <v>138</v>
      </c>
      <c r="B139" s="22" t="inlineStr">
        <is>
          <t>Lais Kelly</t>
        </is>
      </c>
      <c r="C139" s="22" t="inlineStr">
        <is>
          <t>@laiskellyjf</t>
        </is>
      </c>
      <c r="D139" s="23" t="inlineStr">
        <is>
          <t>Enviado</t>
        </is>
      </c>
      <c r="E139" s="21" t="inlineStr">
        <is>
          <t>2026-06</t>
        </is>
      </c>
      <c r="F139" s="21" t="inlineStr">
        <is>
          <t>2026-06-03</t>
        </is>
      </c>
      <c r="G139" s="21" t="inlineStr">
        <is>
          <t>2026-06-03</t>
        </is>
      </c>
      <c r="H139" s="21" t="n">
        <v>2</v>
      </c>
      <c r="I139" s="21" t="n">
        <v>2</v>
      </c>
      <c r="J139" s="21" t="n">
        <v>0</v>
      </c>
      <c r="K139" s="21" t="n">
        <v>2</v>
      </c>
      <c r="L139" s="24" t="n">
        <v>0.08</v>
      </c>
      <c r="M139" s="25">
        <f>I139*Resumo!$C$6</f>
        <v/>
      </c>
      <c r="N139" s="25">
        <f>IF(I139&gt;0,Resumo!$C$7,0)</f>
        <v/>
      </c>
      <c r="O139" s="25">
        <f>M139+N139</f>
        <v/>
      </c>
      <c r="P139" s="21" t="n">
        <v>0</v>
      </c>
      <c r="Q139" s="25" t="n">
        <v>0</v>
      </c>
      <c r="R139" s="25" t="n">
        <v>0</v>
      </c>
      <c r="S139" s="25">
        <f>Q139*Resumo!$C$8</f>
        <v/>
      </c>
      <c r="T139" s="25">
        <f>S139-R139-O139</f>
        <v/>
      </c>
      <c r="U139" s="26">
        <f>IF(O139&gt;0,Q139/O139,0)</f>
        <v/>
      </c>
      <c r="V139" s="24">
        <f>IF(O139&gt;0,T139/O139,0)</f>
        <v/>
      </c>
    </row>
    <row r="140">
      <c r="A140" s="15" t="n">
        <v>139</v>
      </c>
      <c r="B140" s="16" t="inlineStr">
        <is>
          <t>Priscila Luthz</t>
        </is>
      </c>
      <c r="C140" s="16" t="inlineStr">
        <is>
          <t>@priscilaluthz</t>
        </is>
      </c>
      <c r="D140" s="17" t="inlineStr">
        <is>
          <t>Enviado</t>
        </is>
      </c>
      <c r="E140" s="15" t="inlineStr">
        <is>
          <t>2026-06</t>
        </is>
      </c>
      <c r="F140" s="15" t="inlineStr">
        <is>
          <t>2026-06-03</t>
        </is>
      </c>
      <c r="G140" s="15" t="inlineStr">
        <is>
          <t>2026-06-03</t>
        </is>
      </c>
      <c r="H140" s="15" t="n">
        <v>2</v>
      </c>
      <c r="I140" s="15" t="n">
        <v>2</v>
      </c>
      <c r="J140" s="15" t="n">
        <v>0</v>
      </c>
      <c r="K140" s="15" t="n">
        <v>2</v>
      </c>
      <c r="L140" s="18" t="n">
        <v>0.08</v>
      </c>
      <c r="M140" s="19">
        <f>I140*Resumo!$C$6</f>
        <v/>
      </c>
      <c r="N140" s="19">
        <f>IF(I140&gt;0,Resumo!$C$7,0)</f>
        <v/>
      </c>
      <c r="O140" s="19">
        <f>M140+N140</f>
        <v/>
      </c>
      <c r="P140" s="15" t="n">
        <v>0</v>
      </c>
      <c r="Q140" s="19" t="n">
        <v>0</v>
      </c>
      <c r="R140" s="19" t="n">
        <v>0</v>
      </c>
      <c r="S140" s="19">
        <f>Q140*Resumo!$C$8</f>
        <v/>
      </c>
      <c r="T140" s="19">
        <f>S140-R140-O140</f>
        <v/>
      </c>
      <c r="U140" s="20">
        <f>IF(O140&gt;0,Q140/O140,0)</f>
        <v/>
      </c>
      <c r="V140" s="18">
        <f>IF(O140&gt;0,T140/O140,0)</f>
        <v/>
      </c>
    </row>
    <row r="141">
      <c r="A141" s="21" t="n">
        <v>140</v>
      </c>
      <c r="B141" s="22" t="inlineStr">
        <is>
          <t>Joyce Jaconne</t>
        </is>
      </c>
      <c r="C141" s="22" t="inlineStr">
        <is>
          <t>@joycejaconne</t>
        </is>
      </c>
      <c r="D141" s="23" t="inlineStr">
        <is>
          <t>Enviado</t>
        </is>
      </c>
      <c r="E141" s="21" t="inlineStr">
        <is>
          <t>2026-06</t>
        </is>
      </c>
      <c r="F141" s="21" t="inlineStr">
        <is>
          <t>2026-06-08</t>
        </is>
      </c>
      <c r="G141" s="21" t="inlineStr">
        <is>
          <t>2026-06-08</t>
        </is>
      </c>
      <c r="H141" s="21" t="n">
        <v>1</v>
      </c>
      <c r="I141" s="21" t="n">
        <v>1</v>
      </c>
      <c r="J141" s="21" t="n">
        <v>0</v>
      </c>
      <c r="K141" s="21" t="n">
        <v>1</v>
      </c>
      <c r="L141" s="24" t="n">
        <v>0.08</v>
      </c>
      <c r="M141" s="25">
        <f>I141*Resumo!$C$6</f>
        <v/>
      </c>
      <c r="N141" s="25">
        <f>IF(I141&gt;0,Resumo!$C$7,0)</f>
        <v/>
      </c>
      <c r="O141" s="25">
        <f>M141+N141</f>
        <v/>
      </c>
      <c r="P141" s="21" t="n">
        <v>0</v>
      </c>
      <c r="Q141" s="25" t="n">
        <v>0</v>
      </c>
      <c r="R141" s="25" t="n">
        <v>0</v>
      </c>
      <c r="S141" s="25">
        <f>Q141*Resumo!$C$8</f>
        <v/>
      </c>
      <c r="T141" s="25">
        <f>S141-R141-O141</f>
        <v/>
      </c>
      <c r="U141" s="26">
        <f>IF(O141&gt;0,Q141/O141,0)</f>
        <v/>
      </c>
      <c r="V141" s="24">
        <f>IF(O141&gt;0,T141/O141,0)</f>
        <v/>
      </c>
    </row>
    <row r="142">
      <c r="A142" s="15" t="n">
        <v>141</v>
      </c>
      <c r="B142" s="16" t="inlineStr">
        <is>
          <t>achadosdakaren</t>
        </is>
      </c>
      <c r="C142" s="16" t="inlineStr">
        <is>
          <t>@achadosdakaren</t>
        </is>
      </c>
      <c r="D142" s="17" t="inlineStr">
        <is>
          <t>Enviado</t>
        </is>
      </c>
      <c r="E142" s="15" t="inlineStr">
        <is>
          <t>2026-06</t>
        </is>
      </c>
      <c r="F142" s="15" t="inlineStr">
        <is>
          <t>2026-06-10</t>
        </is>
      </c>
      <c r="G142" s="15" t="inlineStr">
        <is>
          <t>2026-06-11</t>
        </is>
      </c>
      <c r="H142" s="15" t="n">
        <v>4</v>
      </c>
      <c r="I142" s="15" t="n">
        <v>4</v>
      </c>
      <c r="J142" s="15" t="n">
        <v>0</v>
      </c>
      <c r="K142" s="15" t="n">
        <v>4</v>
      </c>
      <c r="L142" s="18" t="n">
        <v>0.08</v>
      </c>
      <c r="M142" s="19">
        <f>I142*Resumo!$C$6</f>
        <v/>
      </c>
      <c r="N142" s="19">
        <f>IF(I142&gt;0,Resumo!$C$7,0)</f>
        <v/>
      </c>
      <c r="O142" s="19">
        <f>M142+N142</f>
        <v/>
      </c>
      <c r="P142" s="15" t="n">
        <v>1</v>
      </c>
      <c r="Q142" s="19" t="n">
        <v>89.90000000000001</v>
      </c>
      <c r="R142" s="19" t="n">
        <v>7.19</v>
      </c>
      <c r="S142" s="19">
        <f>Q142*Resumo!$C$8</f>
        <v/>
      </c>
      <c r="T142" s="19">
        <f>S142-R142-O142</f>
        <v/>
      </c>
      <c r="U142" s="20">
        <f>IF(O142&gt;0,Q142/O142,0)</f>
        <v/>
      </c>
      <c r="V142" s="18">
        <f>IF(O142&gt;0,T142/O142,0)</f>
        <v/>
      </c>
    </row>
    <row r="143">
      <c r="A143" s="21" t="n">
        <v>142</v>
      </c>
      <c r="B143" s="22" t="inlineStr">
        <is>
          <t>Nih Urbanjos</t>
        </is>
      </c>
      <c r="C143" s="22" t="inlineStr">
        <is>
          <t>@nihurbanjos</t>
        </is>
      </c>
      <c r="D143" s="23" t="inlineStr">
        <is>
          <t>Enviado</t>
        </is>
      </c>
      <c r="E143" s="21" t="inlineStr">
        <is>
          <t>2026-06</t>
        </is>
      </c>
      <c r="F143" s="21" t="inlineStr">
        <is>
          <t>2026-06-10</t>
        </is>
      </c>
      <c r="G143" s="21" t="inlineStr">
        <is>
          <t>2026-06-10</t>
        </is>
      </c>
      <c r="H143" s="21" t="n">
        <v>9</v>
      </c>
      <c r="I143" s="21" t="n">
        <v>9</v>
      </c>
      <c r="J143" s="21" t="n">
        <v>0</v>
      </c>
      <c r="K143" s="21" t="n">
        <v>5</v>
      </c>
      <c r="L143" s="24" t="n">
        <v>0.08</v>
      </c>
      <c r="M143" s="25">
        <f>I143*Resumo!$C$6</f>
        <v/>
      </c>
      <c r="N143" s="25">
        <f>IF(I143&gt;0,Resumo!$C$7,0)</f>
        <v/>
      </c>
      <c r="O143" s="25">
        <f>M143+N143</f>
        <v/>
      </c>
      <c r="P143" s="21" t="n">
        <v>0</v>
      </c>
      <c r="Q143" s="25" t="n">
        <v>0</v>
      </c>
      <c r="R143" s="25" t="n">
        <v>0</v>
      </c>
      <c r="S143" s="25">
        <f>Q143*Resumo!$C$8</f>
        <v/>
      </c>
      <c r="T143" s="25">
        <f>S143-R143-O143</f>
        <v/>
      </c>
      <c r="U143" s="26">
        <f>IF(O143&gt;0,Q143/O143,0)</f>
        <v/>
      </c>
      <c r="V143" s="24">
        <f>IF(O143&gt;0,T143/O143,0)</f>
        <v/>
      </c>
    </row>
    <row r="144">
      <c r="A144" s="15" t="n">
        <v>143</v>
      </c>
      <c r="B144" s="16" t="inlineStr">
        <is>
          <t>numarchi</t>
        </is>
      </c>
      <c r="C144" s="16" t="inlineStr">
        <is>
          <t>@numarchi</t>
        </is>
      </c>
      <c r="D144" s="17" t="inlineStr">
        <is>
          <t>Enviado</t>
        </is>
      </c>
      <c r="E144" s="15" t="inlineStr">
        <is>
          <t>2026-06</t>
        </is>
      </c>
      <c r="F144" s="15" t="inlineStr">
        <is>
          <t>2026-06-16</t>
        </is>
      </c>
      <c r="G144" s="15" t="inlineStr">
        <is>
          <t>2026-06-16</t>
        </is>
      </c>
      <c r="H144" s="15" t="n">
        <v>2</v>
      </c>
      <c r="I144" s="15" t="n">
        <v>2</v>
      </c>
      <c r="J144" s="15" t="n">
        <v>0</v>
      </c>
      <c r="K144" s="15" t="n">
        <v>1</v>
      </c>
      <c r="L144" s="18" t="n">
        <v>0.12</v>
      </c>
      <c r="M144" s="19">
        <f>I144*Resumo!$C$6</f>
        <v/>
      </c>
      <c r="N144" s="19">
        <f>IF(I144&gt;0,Resumo!$C$7,0)</f>
        <v/>
      </c>
      <c r="O144" s="19">
        <f>M144+N144</f>
        <v/>
      </c>
      <c r="P144" s="15" t="n">
        <v>73</v>
      </c>
      <c r="Q144" s="19" t="n">
        <v>7158.77</v>
      </c>
      <c r="R144" s="19" t="n">
        <v>547.86</v>
      </c>
      <c r="S144" s="19">
        <f>Q144*Resumo!$C$8</f>
        <v/>
      </c>
      <c r="T144" s="19">
        <f>S144-R144-O144</f>
        <v/>
      </c>
      <c r="U144" s="20">
        <f>IF(O144&gt;0,Q144/O144,0)</f>
        <v/>
      </c>
      <c r="V144" s="18">
        <f>IF(O144&gt;0,T144/O144,0)</f>
        <v/>
      </c>
    </row>
    <row r="145">
      <c r="A145" s="21" t="n">
        <v>144</v>
      </c>
      <c r="B145" s="22" t="inlineStr">
        <is>
          <t>Blehh</t>
        </is>
      </c>
      <c r="C145" s="22" t="inlineStr">
        <is>
          <t>@someoneduda</t>
        </is>
      </c>
      <c r="D145" s="23" t="inlineStr">
        <is>
          <t>Enviado</t>
        </is>
      </c>
      <c r="E145" s="21" t="inlineStr">
        <is>
          <t>2026-06</t>
        </is>
      </c>
      <c r="F145" s="21" t="inlineStr">
        <is>
          <t>2026-06-17</t>
        </is>
      </c>
      <c r="G145" s="21" t="inlineStr">
        <is>
          <t>2026-06-17</t>
        </is>
      </c>
      <c r="H145" s="21" t="n">
        <v>2</v>
      </c>
      <c r="I145" s="21" t="n">
        <v>2</v>
      </c>
      <c r="J145" s="21" t="n">
        <v>0</v>
      </c>
      <c r="K145" s="21" t="n">
        <v>1</v>
      </c>
      <c r="L145" s="24" t="n">
        <v>0.08</v>
      </c>
      <c r="M145" s="25">
        <f>I145*Resumo!$C$6</f>
        <v/>
      </c>
      <c r="N145" s="25">
        <f>IF(I145&gt;0,Resumo!$C$7,0)</f>
        <v/>
      </c>
      <c r="O145" s="25">
        <f>M145+N145</f>
        <v/>
      </c>
      <c r="P145" s="21" t="n">
        <v>46</v>
      </c>
      <c r="Q145" s="25" t="n">
        <v>4575.4</v>
      </c>
      <c r="R145" s="25" t="n">
        <v>219.28</v>
      </c>
      <c r="S145" s="25">
        <f>Q145*Resumo!$C$8</f>
        <v/>
      </c>
      <c r="T145" s="25">
        <f>S145-R145-O145</f>
        <v/>
      </c>
      <c r="U145" s="26">
        <f>IF(O145&gt;0,Q145/O145,0)</f>
        <v/>
      </c>
      <c r="V145" s="24">
        <f>IF(O145&gt;0,T145/O145,0)</f>
        <v/>
      </c>
    </row>
    <row r="146">
      <c r="A146" s="15" t="n">
        <v>145</v>
      </c>
      <c r="B146" s="16" t="inlineStr">
        <is>
          <t>Mônica Mendes</t>
        </is>
      </c>
      <c r="C146" s="16" t="inlineStr">
        <is>
          <t>@monicamendes_85</t>
        </is>
      </c>
      <c r="D146" s="17" t="inlineStr">
        <is>
          <t>Enviado</t>
        </is>
      </c>
      <c r="E146" s="15" t="inlineStr">
        <is>
          <t>2026-06</t>
        </is>
      </c>
      <c r="F146" s="15" t="inlineStr">
        <is>
          <t>2026-06-26</t>
        </is>
      </c>
      <c r="G146" s="15" t="inlineStr">
        <is>
          <t>2026-06-26</t>
        </is>
      </c>
      <c r="H146" s="15" t="n">
        <v>1</v>
      </c>
      <c r="I146" s="15" t="n">
        <v>1</v>
      </c>
      <c r="J146" s="15" t="n">
        <v>0</v>
      </c>
      <c r="K146" s="15" t="n">
        <v>1</v>
      </c>
      <c r="L146" s="18" t="n">
        <v>0.08</v>
      </c>
      <c r="M146" s="19">
        <f>I146*Resumo!$C$6</f>
        <v/>
      </c>
      <c r="N146" s="19">
        <f>IF(I146&gt;0,Resumo!$C$7,0)</f>
        <v/>
      </c>
      <c r="O146" s="19">
        <f>M146+N146</f>
        <v/>
      </c>
      <c r="P146" s="15" t="n">
        <v>1</v>
      </c>
      <c r="Q146" s="19" t="n">
        <v>99.90000000000001</v>
      </c>
      <c r="R146" s="19" t="n">
        <v>0</v>
      </c>
      <c r="S146" s="19">
        <f>Q146*Resumo!$C$8</f>
        <v/>
      </c>
      <c r="T146" s="19">
        <f>S146-R146-O146</f>
        <v/>
      </c>
      <c r="U146" s="20">
        <f>IF(O146&gt;0,Q146/O146,0)</f>
        <v/>
      </c>
      <c r="V146" s="18">
        <f>IF(O146&gt;0,T146/O146,0)</f>
        <v/>
      </c>
    </row>
    <row r="147">
      <c r="A147" s="21" t="n">
        <v>146</v>
      </c>
      <c r="B147" s="22" t="inlineStr">
        <is>
          <t>Letícia Lacerda</t>
        </is>
      </c>
      <c r="C147" s="22" t="inlineStr">
        <is>
          <t>@leticiaalacerda</t>
        </is>
      </c>
      <c r="D147" s="23" t="inlineStr">
        <is>
          <t>Enviado</t>
        </is>
      </c>
      <c r="E147" s="21" t="inlineStr">
        <is>
          <t>2026-06</t>
        </is>
      </c>
      <c r="F147" s="21" t="inlineStr">
        <is>
          <t>2026-06-26</t>
        </is>
      </c>
      <c r="G147" s="21" t="inlineStr">
        <is>
          <t>2026-06-26</t>
        </is>
      </c>
      <c r="H147" s="21" t="n">
        <v>1</v>
      </c>
      <c r="I147" s="21" t="n">
        <v>1</v>
      </c>
      <c r="J147" s="21" t="n">
        <v>0</v>
      </c>
      <c r="K147" s="21" t="n">
        <v>1</v>
      </c>
      <c r="L147" s="24" t="n">
        <v>0.08</v>
      </c>
      <c r="M147" s="25">
        <f>I147*Resumo!$C$6</f>
        <v/>
      </c>
      <c r="N147" s="25">
        <f>IF(I147&gt;0,Resumo!$C$7,0)</f>
        <v/>
      </c>
      <c r="O147" s="25">
        <f>M147+N147</f>
        <v/>
      </c>
      <c r="P147" s="21" t="n">
        <v>1</v>
      </c>
      <c r="Q147" s="25" t="n">
        <v>99.40000000000001</v>
      </c>
      <c r="R147" s="25" t="n">
        <v>0</v>
      </c>
      <c r="S147" s="25">
        <f>Q147*Resumo!$C$8</f>
        <v/>
      </c>
      <c r="T147" s="25">
        <f>S147-R147-O147</f>
        <v/>
      </c>
      <c r="U147" s="26">
        <f>IF(O147&gt;0,Q147/O147,0)</f>
        <v/>
      </c>
      <c r="V147" s="24">
        <f>IF(O147&gt;0,T147/O147,0)</f>
        <v/>
      </c>
    </row>
    <row r="148">
      <c r="A148" s="15" t="n">
        <v>147</v>
      </c>
      <c r="B148" s="16" t="inlineStr">
        <is>
          <t>Hey Tainara 🦋</t>
        </is>
      </c>
      <c r="C148" s="16" t="inlineStr">
        <is>
          <t>@atainara.indica</t>
        </is>
      </c>
      <c r="D148" s="17" t="inlineStr">
        <is>
          <t>Enviado</t>
        </is>
      </c>
      <c r="E148" s="15" t="inlineStr">
        <is>
          <t>2026-06</t>
        </is>
      </c>
      <c r="F148" s="15" t="inlineStr">
        <is>
          <t>2026-06-26</t>
        </is>
      </c>
      <c r="G148" s="15" t="inlineStr">
        <is>
          <t>2026-06-26</t>
        </is>
      </c>
      <c r="H148" s="15" t="n">
        <v>1</v>
      </c>
      <c r="I148" s="15" t="n">
        <v>1</v>
      </c>
      <c r="J148" s="15" t="n">
        <v>0</v>
      </c>
      <c r="K148" s="15" t="n">
        <v>1</v>
      </c>
      <c r="L148" s="18" t="n">
        <v>0.08</v>
      </c>
      <c r="M148" s="19">
        <f>I148*Resumo!$C$6</f>
        <v/>
      </c>
      <c r="N148" s="19">
        <f>IF(I148&gt;0,Resumo!$C$7,0)</f>
        <v/>
      </c>
      <c r="O148" s="19">
        <f>M148+N148</f>
        <v/>
      </c>
      <c r="P148" s="15" t="n">
        <v>0</v>
      </c>
      <c r="Q148" s="19" t="n">
        <v>0</v>
      </c>
      <c r="R148" s="19" t="n">
        <v>0</v>
      </c>
      <c r="S148" s="19">
        <f>Q148*Resumo!$C$8</f>
        <v/>
      </c>
      <c r="T148" s="19">
        <f>S148-R148-O148</f>
        <v/>
      </c>
      <c r="U148" s="20">
        <f>IF(O148&gt;0,Q148/O148,0)</f>
        <v/>
      </c>
      <c r="V148" s="18">
        <f>IF(O148&gt;0,T148/O148,0)</f>
        <v/>
      </c>
    </row>
    <row r="149">
      <c r="A149" s="21" t="n">
        <v>148</v>
      </c>
      <c r="B149" s="22" t="inlineStr">
        <is>
          <t>Claudete Mello</t>
        </is>
      </c>
      <c r="C149" s="22" t="inlineStr">
        <is>
          <t>@claudetegmello</t>
        </is>
      </c>
      <c r="D149" s="23" t="inlineStr">
        <is>
          <t>Enviado</t>
        </is>
      </c>
      <c r="E149" s="21" t="inlineStr">
        <is>
          <t>2026-06</t>
        </is>
      </c>
      <c r="F149" s="21" t="inlineStr">
        <is>
          <t>2026-06-26</t>
        </is>
      </c>
      <c r="G149" s="21" t="inlineStr">
        <is>
          <t>2026-06-26</t>
        </is>
      </c>
      <c r="H149" s="21" t="n">
        <v>1</v>
      </c>
      <c r="I149" s="21" t="n">
        <v>1</v>
      </c>
      <c r="J149" s="21" t="n">
        <v>0</v>
      </c>
      <c r="K149" s="21" t="n">
        <v>1</v>
      </c>
      <c r="L149" s="24" t="n">
        <v>0.08</v>
      </c>
      <c r="M149" s="25">
        <f>I149*Resumo!$C$6</f>
        <v/>
      </c>
      <c r="N149" s="25">
        <f>IF(I149&gt;0,Resumo!$C$7,0)</f>
        <v/>
      </c>
      <c r="O149" s="25">
        <f>M149+N149</f>
        <v/>
      </c>
      <c r="P149" s="21" t="n">
        <v>0</v>
      </c>
      <c r="Q149" s="25" t="n">
        <v>0</v>
      </c>
      <c r="R149" s="25" t="n">
        <v>0</v>
      </c>
      <c r="S149" s="25">
        <f>Q149*Resumo!$C$8</f>
        <v/>
      </c>
      <c r="T149" s="25">
        <f>S149-R149-O149</f>
        <v/>
      </c>
      <c r="U149" s="26">
        <f>IF(O149&gt;0,Q149/O149,0)</f>
        <v/>
      </c>
      <c r="V149" s="24">
        <f>IF(O149&gt;0,T149/O149,0)</f>
        <v/>
      </c>
    </row>
    <row r="150">
      <c r="A150" s="15" t="n">
        <v>149</v>
      </c>
      <c r="B150" s="16" t="inlineStr">
        <is>
          <t>Cynthya Gomes</t>
        </is>
      </c>
      <c r="C150" s="16" t="inlineStr">
        <is>
          <t>@cynthyagomes8</t>
        </is>
      </c>
      <c r="D150" s="17" t="inlineStr">
        <is>
          <t>Enviado</t>
        </is>
      </c>
      <c r="E150" s="15" t="inlineStr">
        <is>
          <t>2026-06</t>
        </is>
      </c>
      <c r="F150" s="15" t="inlineStr">
        <is>
          <t>2026-06-26</t>
        </is>
      </c>
      <c r="G150" s="15" t="inlineStr">
        <is>
          <t>2026-06-26</t>
        </is>
      </c>
      <c r="H150" s="15" t="n">
        <v>1</v>
      </c>
      <c r="I150" s="15" t="n">
        <v>1</v>
      </c>
      <c r="J150" s="15" t="n">
        <v>0</v>
      </c>
      <c r="K150" s="15" t="n">
        <v>1</v>
      </c>
      <c r="L150" s="18" t="n">
        <v>0.08</v>
      </c>
      <c r="M150" s="19">
        <f>I150*Resumo!$C$6</f>
        <v/>
      </c>
      <c r="N150" s="19">
        <f>IF(I150&gt;0,Resumo!$C$7,0)</f>
        <v/>
      </c>
      <c r="O150" s="19">
        <f>M150+N150</f>
        <v/>
      </c>
      <c r="P150" s="15" t="n">
        <v>0</v>
      </c>
      <c r="Q150" s="19" t="n">
        <v>0</v>
      </c>
      <c r="R150" s="19" t="n">
        <v>0</v>
      </c>
      <c r="S150" s="19">
        <f>Q150*Resumo!$C$8</f>
        <v/>
      </c>
      <c r="T150" s="19">
        <f>S150-R150-O150</f>
        <v/>
      </c>
      <c r="U150" s="20">
        <f>IF(O150&gt;0,Q150/O150,0)</f>
        <v/>
      </c>
      <c r="V150" s="18">
        <f>IF(O150&gt;0,T150/O150,0)</f>
        <v/>
      </c>
    </row>
    <row r="151">
      <c r="A151" s="21" t="n">
        <v>150</v>
      </c>
      <c r="B151" s="22" t="inlineStr">
        <is>
          <t>Kléo</t>
        </is>
      </c>
      <c r="C151" s="22" t="inlineStr">
        <is>
          <t>@kleobotelho</t>
        </is>
      </c>
      <c r="D151" s="23" t="inlineStr">
        <is>
          <t>Enviado</t>
        </is>
      </c>
      <c r="E151" s="21" t="inlineStr">
        <is>
          <t>2026-06</t>
        </is>
      </c>
      <c r="F151" s="21" t="inlineStr">
        <is>
          <t>2026-06-26</t>
        </is>
      </c>
      <c r="G151" s="21" t="inlineStr">
        <is>
          <t>2026-06-26</t>
        </is>
      </c>
      <c r="H151" s="21" t="n">
        <v>3</v>
      </c>
      <c r="I151" s="21" t="n">
        <v>3</v>
      </c>
      <c r="J151" s="21" t="n">
        <v>0</v>
      </c>
      <c r="K151" s="21" t="n">
        <v>1</v>
      </c>
      <c r="L151" s="24" t="n">
        <v>0.08</v>
      </c>
      <c r="M151" s="25">
        <f>I151*Resumo!$C$6</f>
        <v/>
      </c>
      <c r="N151" s="25">
        <f>IF(I151&gt;0,Resumo!$C$7,0)</f>
        <v/>
      </c>
      <c r="O151" s="25">
        <f>M151+N151</f>
        <v/>
      </c>
      <c r="P151" s="21" t="n">
        <v>0</v>
      </c>
      <c r="Q151" s="25" t="n">
        <v>0</v>
      </c>
      <c r="R151" s="25" t="n">
        <v>0</v>
      </c>
      <c r="S151" s="25">
        <f>Q151*Resumo!$C$8</f>
        <v/>
      </c>
      <c r="T151" s="25">
        <f>S151-R151-O151</f>
        <v/>
      </c>
      <c r="U151" s="26">
        <f>IF(O151&gt;0,Q151/O151,0)</f>
        <v/>
      </c>
      <c r="V151" s="24">
        <f>IF(O151&gt;0,T151/O151,0)</f>
        <v/>
      </c>
    </row>
    <row r="152">
      <c r="A152" s="15" t="n">
        <v>151</v>
      </c>
      <c r="B152" s="16" t="inlineStr">
        <is>
          <t>Nicole Mares</t>
        </is>
      </c>
      <c r="C152" s="16" t="inlineStr">
        <is>
          <t>@nicolemaress</t>
        </is>
      </c>
      <c r="D152" s="17" t="inlineStr">
        <is>
          <t>Enviado</t>
        </is>
      </c>
      <c r="E152" s="15" t="inlineStr">
        <is>
          <t>2026-06</t>
        </is>
      </c>
      <c r="F152" s="15" t="inlineStr">
        <is>
          <t>2026-06-26</t>
        </is>
      </c>
      <c r="G152" s="15" t="inlineStr">
        <is>
          <t>2026-06-26</t>
        </is>
      </c>
      <c r="H152" s="15" t="n">
        <v>1</v>
      </c>
      <c r="I152" s="15" t="n">
        <v>1</v>
      </c>
      <c r="J152" s="15" t="n">
        <v>0</v>
      </c>
      <c r="K152" s="15" t="n">
        <v>1</v>
      </c>
      <c r="L152" s="18" t="n">
        <v>0.08</v>
      </c>
      <c r="M152" s="19">
        <f>I152*Resumo!$C$6</f>
        <v/>
      </c>
      <c r="N152" s="19">
        <f>IF(I152&gt;0,Resumo!$C$7,0)</f>
        <v/>
      </c>
      <c r="O152" s="19">
        <f>M152+N152</f>
        <v/>
      </c>
      <c r="P152" s="15" t="n">
        <v>0</v>
      </c>
      <c r="Q152" s="19" t="n">
        <v>0</v>
      </c>
      <c r="R152" s="19" t="n">
        <v>0</v>
      </c>
      <c r="S152" s="19">
        <f>Q152*Resumo!$C$8</f>
        <v/>
      </c>
      <c r="T152" s="19">
        <f>S152-R152-O152</f>
        <v/>
      </c>
      <c r="U152" s="20">
        <f>IF(O152&gt;0,Q152/O152,0)</f>
        <v/>
      </c>
      <c r="V152" s="18">
        <f>IF(O152&gt;0,T152/O152,0)</f>
        <v/>
      </c>
    </row>
    <row r="153">
      <c r="A153" s="21" t="n">
        <v>152</v>
      </c>
      <c r="B153" s="22" t="inlineStr">
        <is>
          <t>RafaellaEscorel</t>
        </is>
      </c>
      <c r="C153" s="22" t="inlineStr">
        <is>
          <t>@rafaellaescorel</t>
        </is>
      </c>
      <c r="D153" s="23" t="inlineStr">
        <is>
          <t>Enviado</t>
        </is>
      </c>
      <c r="E153" s="21" t="inlineStr">
        <is>
          <t>2026-06</t>
        </is>
      </c>
      <c r="F153" s="21" t="inlineStr">
        <is>
          <t>2026-06-26</t>
        </is>
      </c>
      <c r="G153" s="21" t="inlineStr">
        <is>
          <t>2026-06-26</t>
        </is>
      </c>
      <c r="H153" s="21" t="n">
        <v>1</v>
      </c>
      <c r="I153" s="21" t="n">
        <v>1</v>
      </c>
      <c r="J153" s="21" t="n">
        <v>0</v>
      </c>
      <c r="K153" s="21" t="n">
        <v>1</v>
      </c>
      <c r="L153" s="24" t="n">
        <v>0.08</v>
      </c>
      <c r="M153" s="25">
        <f>I153*Resumo!$C$6</f>
        <v/>
      </c>
      <c r="N153" s="25">
        <f>IF(I153&gt;0,Resumo!$C$7,0)</f>
        <v/>
      </c>
      <c r="O153" s="25">
        <f>M153+N153</f>
        <v/>
      </c>
      <c r="P153" s="21" t="n">
        <v>0</v>
      </c>
      <c r="Q153" s="25" t="n">
        <v>0</v>
      </c>
      <c r="R153" s="25" t="n">
        <v>0</v>
      </c>
      <c r="S153" s="25">
        <f>Q153*Resumo!$C$8</f>
        <v/>
      </c>
      <c r="T153" s="25">
        <f>S153-R153-O153</f>
        <v/>
      </c>
      <c r="U153" s="26">
        <f>IF(O153&gt;0,Q153/O153,0)</f>
        <v/>
      </c>
      <c r="V153" s="24">
        <f>IF(O153&gt;0,T153/O153,0)</f>
        <v/>
      </c>
    </row>
    <row r="154">
      <c r="A154" s="15" t="n">
        <v>153</v>
      </c>
      <c r="B154" s="16" t="inlineStr">
        <is>
          <t>Ingridhi Ramos</t>
        </is>
      </c>
      <c r="C154" s="16" t="inlineStr">
        <is>
          <t>@ramosingridhi</t>
        </is>
      </c>
      <c r="D154" s="17" t="inlineStr">
        <is>
          <t>Enviado</t>
        </is>
      </c>
      <c r="E154" s="15" t="inlineStr">
        <is>
          <t>2026-07</t>
        </is>
      </c>
      <c r="F154" s="15" t="inlineStr">
        <is>
          <t>2026-07-01</t>
        </is>
      </c>
      <c r="G154" s="15" t="inlineStr">
        <is>
          <t>2026-07-01</t>
        </is>
      </c>
      <c r="H154" s="15" t="n">
        <v>1</v>
      </c>
      <c r="I154" s="15" t="n">
        <v>1</v>
      </c>
      <c r="J154" s="15" t="n">
        <v>0</v>
      </c>
      <c r="K154" s="15" t="n">
        <v>1</v>
      </c>
      <c r="L154" s="18" t="n">
        <v>0.08</v>
      </c>
      <c r="M154" s="19">
        <f>I154*Resumo!$C$6</f>
        <v/>
      </c>
      <c r="N154" s="19">
        <f>IF(I154&gt;0,Resumo!$C$7,0)</f>
        <v/>
      </c>
      <c r="O154" s="19">
        <f>M154+N154</f>
        <v/>
      </c>
      <c r="P154" s="15" t="n">
        <v>0</v>
      </c>
      <c r="Q154" s="19" t="n">
        <v>0</v>
      </c>
      <c r="R154" s="19" t="n">
        <v>0</v>
      </c>
      <c r="S154" s="19">
        <f>Q154*Resumo!$C$8</f>
        <v/>
      </c>
      <c r="T154" s="19">
        <f>S154-R154-O154</f>
        <v/>
      </c>
      <c r="U154" s="20">
        <f>IF(O154&gt;0,Q154/O154,0)</f>
        <v/>
      </c>
      <c r="V154" s="18">
        <f>IF(O154&gt;0,T154/O154,0)</f>
        <v/>
      </c>
    </row>
    <row r="155">
      <c r="A155" s="21" t="n">
        <v>154</v>
      </c>
      <c r="B155" s="22" t="inlineStr">
        <is>
          <t>Gabbi 🌟</t>
        </is>
      </c>
      <c r="C155" s="22" t="inlineStr">
        <is>
          <t>@gabbizie</t>
        </is>
      </c>
      <c r="D155" s="23" t="inlineStr">
        <is>
          <t>Enviado</t>
        </is>
      </c>
      <c r="E155" s="21" t="inlineStr">
        <is>
          <t>2026-07</t>
        </is>
      </c>
      <c r="F155" s="21" t="inlineStr">
        <is>
          <t>2026-07-03</t>
        </is>
      </c>
      <c r="G155" s="21" t="inlineStr">
        <is>
          <t>2026-07-03</t>
        </is>
      </c>
      <c r="H155" s="21" t="n">
        <v>1</v>
      </c>
      <c r="I155" s="21" t="n">
        <v>1</v>
      </c>
      <c r="J155" s="21" t="n">
        <v>0</v>
      </c>
      <c r="K155" s="21" t="n">
        <v>1</v>
      </c>
      <c r="L155" s="24" t="n">
        <v>0.12</v>
      </c>
      <c r="M155" s="25">
        <f>I155*Resumo!$C$6</f>
        <v/>
      </c>
      <c r="N155" s="25">
        <f>IF(I155&gt;0,Resumo!$C$7,0)</f>
        <v/>
      </c>
      <c r="O155" s="25">
        <f>M155+N155</f>
        <v/>
      </c>
      <c r="P155" s="21" t="n">
        <v>1</v>
      </c>
      <c r="Q155" s="25" t="n">
        <v>189.99</v>
      </c>
      <c r="R155" s="25" t="n">
        <v>22.8</v>
      </c>
      <c r="S155" s="25">
        <f>Q155*Resumo!$C$8</f>
        <v/>
      </c>
      <c r="T155" s="25">
        <f>S155-R155-O155</f>
        <v/>
      </c>
      <c r="U155" s="26">
        <f>IF(O155&gt;0,Q155/O155,0)</f>
        <v/>
      </c>
      <c r="V155" s="24">
        <f>IF(O155&gt;0,T155/O155,0)</f>
        <v/>
      </c>
    </row>
    <row r="156">
      <c r="A156" s="15" t="n">
        <v>155</v>
      </c>
      <c r="B156" s="16" t="inlineStr">
        <is>
          <t>Mariaangeladiass</t>
        </is>
      </c>
      <c r="C156" s="16" t="inlineStr">
        <is>
          <t>@_mariaangeladiass</t>
        </is>
      </c>
      <c r="D156" s="17" t="inlineStr">
        <is>
          <t>Enviado</t>
        </is>
      </c>
      <c r="E156" s="15" t="inlineStr">
        <is>
          <t>2026-07</t>
        </is>
      </c>
      <c r="F156" s="15" t="inlineStr">
        <is>
          <t>2026-07-03</t>
        </is>
      </c>
      <c r="G156" s="15" t="inlineStr">
        <is>
          <t>2026-07-03</t>
        </is>
      </c>
      <c r="H156" s="15" t="n">
        <v>1</v>
      </c>
      <c r="I156" s="15" t="n">
        <v>1</v>
      </c>
      <c r="J156" s="15" t="n">
        <v>0</v>
      </c>
      <c r="K156" s="15" t="n">
        <v>1</v>
      </c>
      <c r="L156" s="18" t="n">
        <v>0.08</v>
      </c>
      <c r="M156" s="19">
        <f>I156*Resumo!$C$6</f>
        <v/>
      </c>
      <c r="N156" s="19">
        <f>IF(I156&gt;0,Resumo!$C$7,0)</f>
        <v/>
      </c>
      <c r="O156" s="19">
        <f>M156+N156</f>
        <v/>
      </c>
      <c r="P156" s="15" t="n">
        <v>0</v>
      </c>
      <c r="Q156" s="19" t="n">
        <v>0</v>
      </c>
      <c r="R156" s="19" t="n">
        <v>0</v>
      </c>
      <c r="S156" s="19">
        <f>Q156*Resumo!$C$8</f>
        <v/>
      </c>
      <c r="T156" s="19">
        <f>S156-R156-O156</f>
        <v/>
      </c>
      <c r="U156" s="20">
        <f>IF(O156&gt;0,Q156/O156,0)</f>
        <v/>
      </c>
      <c r="V156" s="18">
        <f>IF(O156&gt;0,T156/O156,0)</f>
        <v/>
      </c>
    </row>
    <row r="157">
      <c r="A157" s="21" t="n">
        <v>156</v>
      </c>
      <c r="B157" s="22" t="inlineStr">
        <is>
          <t>annecreator</t>
        </is>
      </c>
      <c r="C157" s="22" t="inlineStr">
        <is>
          <t>@annecreator</t>
        </is>
      </c>
      <c r="D157" s="23" t="inlineStr">
        <is>
          <t>Enviado</t>
        </is>
      </c>
      <c r="E157" s="21" t="inlineStr">
        <is>
          <t>2026-07</t>
        </is>
      </c>
      <c r="F157" s="21" t="inlineStr">
        <is>
          <t>2026-07-03</t>
        </is>
      </c>
      <c r="G157" s="21" t="inlineStr">
        <is>
          <t>2026-07-03</t>
        </is>
      </c>
      <c r="H157" s="21" t="n">
        <v>1</v>
      </c>
      <c r="I157" s="21" t="n">
        <v>1</v>
      </c>
      <c r="J157" s="21" t="n">
        <v>0</v>
      </c>
      <c r="K157" s="21" t="n">
        <v>1</v>
      </c>
      <c r="L157" s="24" t="n">
        <v>0.08</v>
      </c>
      <c r="M157" s="25">
        <f>I157*Resumo!$C$6</f>
        <v/>
      </c>
      <c r="N157" s="25">
        <f>IF(I157&gt;0,Resumo!$C$7,0)</f>
        <v/>
      </c>
      <c r="O157" s="25">
        <f>M157+N157</f>
        <v/>
      </c>
      <c r="P157" s="21" t="n">
        <v>0</v>
      </c>
      <c r="Q157" s="25" t="n">
        <v>0</v>
      </c>
      <c r="R157" s="25" t="n">
        <v>0</v>
      </c>
      <c r="S157" s="25">
        <f>Q157*Resumo!$C$8</f>
        <v/>
      </c>
      <c r="T157" s="25">
        <f>S157-R157-O157</f>
        <v/>
      </c>
      <c r="U157" s="26">
        <f>IF(O157&gt;0,Q157/O157,0)</f>
        <v/>
      </c>
      <c r="V157" s="24">
        <f>IF(O157&gt;0,T157/O157,0)</f>
        <v/>
      </c>
    </row>
    <row r="158">
      <c r="A158" s="15" t="n">
        <v>157</v>
      </c>
      <c r="B158" s="16" t="inlineStr">
        <is>
          <t>✨ Gi  ✨</t>
        </is>
      </c>
      <c r="C158" s="16" t="inlineStr">
        <is>
          <t>@dicas_gi</t>
        </is>
      </c>
      <c r="D158" s="17" t="inlineStr">
        <is>
          <t>Enviado</t>
        </is>
      </c>
      <c r="E158" s="15" t="inlineStr">
        <is>
          <t>2026-07</t>
        </is>
      </c>
      <c r="F158" s="15" t="inlineStr">
        <is>
          <t>2026-07-03</t>
        </is>
      </c>
      <c r="G158" s="15" t="inlineStr">
        <is>
          <t>2026-07-03</t>
        </is>
      </c>
      <c r="H158" s="15" t="n">
        <v>2</v>
      </c>
      <c r="I158" s="15" t="n">
        <v>2</v>
      </c>
      <c r="J158" s="15" t="n">
        <v>0</v>
      </c>
      <c r="K158" s="15" t="n">
        <v>1</v>
      </c>
      <c r="L158" s="18" t="n">
        <v>0.08</v>
      </c>
      <c r="M158" s="19">
        <f>I158*Resumo!$C$6</f>
        <v/>
      </c>
      <c r="N158" s="19">
        <f>IF(I158&gt;0,Resumo!$C$7,0)</f>
        <v/>
      </c>
      <c r="O158" s="19">
        <f>M158+N158</f>
        <v/>
      </c>
      <c r="P158" s="15" t="n">
        <v>0</v>
      </c>
      <c r="Q158" s="19" t="n">
        <v>0</v>
      </c>
      <c r="R158" s="19" t="n">
        <v>0</v>
      </c>
      <c r="S158" s="19">
        <f>Q158*Resumo!$C$8</f>
        <v/>
      </c>
      <c r="T158" s="19">
        <f>S158-R158-O158</f>
        <v/>
      </c>
      <c r="U158" s="20">
        <f>IF(O158&gt;0,Q158/O158,0)</f>
        <v/>
      </c>
      <c r="V158" s="18">
        <f>IF(O158&gt;0,T158/O158,0)</f>
        <v/>
      </c>
    </row>
    <row r="159">
      <c r="A159" s="21" t="n">
        <v>158</v>
      </c>
      <c r="B159" s="22" t="inlineStr">
        <is>
          <t>Limaa_</t>
        </is>
      </c>
      <c r="C159" s="22" t="inlineStr">
        <is>
          <t>@limaat15</t>
        </is>
      </c>
      <c r="D159" s="23" t="inlineStr">
        <is>
          <t>Enviado</t>
        </is>
      </c>
      <c r="E159" s="21" t="inlineStr">
        <is>
          <t>2026-07</t>
        </is>
      </c>
      <c r="F159" s="21" t="inlineStr">
        <is>
          <t>2026-07-03</t>
        </is>
      </c>
      <c r="G159" s="21" t="inlineStr">
        <is>
          <t>2026-07-03</t>
        </is>
      </c>
      <c r="H159" s="21" t="n">
        <v>1</v>
      </c>
      <c r="I159" s="21" t="n">
        <v>1</v>
      </c>
      <c r="J159" s="21" t="n">
        <v>0</v>
      </c>
      <c r="K159" s="21" t="n">
        <v>1</v>
      </c>
      <c r="L159" s="24" t="n">
        <v>0.08</v>
      </c>
      <c r="M159" s="25">
        <f>I159*Resumo!$C$6</f>
        <v/>
      </c>
      <c r="N159" s="25">
        <f>IF(I159&gt;0,Resumo!$C$7,0)</f>
        <v/>
      </c>
      <c r="O159" s="25">
        <f>M159+N159</f>
        <v/>
      </c>
      <c r="P159" s="21" t="n">
        <v>0</v>
      </c>
      <c r="Q159" s="25" t="n">
        <v>0</v>
      </c>
      <c r="R159" s="25" t="n">
        <v>0</v>
      </c>
      <c r="S159" s="25">
        <f>Q159*Resumo!$C$8</f>
        <v/>
      </c>
      <c r="T159" s="25">
        <f>S159-R159-O159</f>
        <v/>
      </c>
      <c r="U159" s="26">
        <f>IF(O159&gt;0,Q159/O159,0)</f>
        <v/>
      </c>
      <c r="V159" s="24">
        <f>IF(O159&gt;0,T159/O159,0)</f>
        <v/>
      </c>
    </row>
    <row r="160">
      <c r="A160" s="15" t="n">
        <v>159</v>
      </c>
      <c r="B160" s="16" t="inlineStr">
        <is>
          <t>dicas da Aline 🛍️</t>
        </is>
      </c>
      <c r="C160" s="16" t="inlineStr">
        <is>
          <t>@mouraline_</t>
        </is>
      </c>
      <c r="D160" s="17" t="inlineStr">
        <is>
          <t>Enviado</t>
        </is>
      </c>
      <c r="E160" s="15" t="inlineStr">
        <is>
          <t>2026-07</t>
        </is>
      </c>
      <c r="F160" s="15" t="inlineStr">
        <is>
          <t>2026-07-03</t>
        </is>
      </c>
      <c r="G160" s="15" t="inlineStr">
        <is>
          <t>2026-07-03</t>
        </is>
      </c>
      <c r="H160" s="15" t="n">
        <v>1</v>
      </c>
      <c r="I160" s="15" t="n">
        <v>1</v>
      </c>
      <c r="J160" s="15" t="n">
        <v>0</v>
      </c>
      <c r="K160" s="15" t="n">
        <v>1</v>
      </c>
      <c r="L160" s="18" t="n">
        <v>0.08</v>
      </c>
      <c r="M160" s="19">
        <f>I160*Resumo!$C$6</f>
        <v/>
      </c>
      <c r="N160" s="19">
        <f>IF(I160&gt;0,Resumo!$C$7,0)</f>
        <v/>
      </c>
      <c r="O160" s="19">
        <f>M160+N160</f>
        <v/>
      </c>
      <c r="P160" s="15" t="n">
        <v>0</v>
      </c>
      <c r="Q160" s="19" t="n">
        <v>0</v>
      </c>
      <c r="R160" s="19" t="n">
        <v>0</v>
      </c>
      <c r="S160" s="19">
        <f>Q160*Resumo!$C$8</f>
        <v/>
      </c>
      <c r="T160" s="19">
        <f>S160-R160-O160</f>
        <v/>
      </c>
      <c r="U160" s="20">
        <f>IF(O160&gt;0,Q160/O160,0)</f>
        <v/>
      </c>
      <c r="V160" s="18">
        <f>IF(O160&gt;0,T160/O160,0)</f>
        <v/>
      </c>
    </row>
    <row r="161">
      <c r="A161" s="21" t="n">
        <v>160</v>
      </c>
      <c r="B161" s="22" t="inlineStr">
        <is>
          <t>Paulinha Indica</t>
        </is>
      </c>
      <c r="C161" s="22" t="inlineStr">
        <is>
          <t>@paulinhacreator</t>
        </is>
      </c>
      <c r="D161" s="23" t="inlineStr">
        <is>
          <t>Enviado</t>
        </is>
      </c>
      <c r="E161" s="21" t="inlineStr">
        <is>
          <t>2026-07</t>
        </is>
      </c>
      <c r="F161" s="21" t="inlineStr">
        <is>
          <t>2026-07-03</t>
        </is>
      </c>
      <c r="G161" s="21" t="inlineStr">
        <is>
          <t>2026-07-03</t>
        </is>
      </c>
      <c r="H161" s="21" t="n">
        <v>1</v>
      </c>
      <c r="I161" s="21" t="n">
        <v>1</v>
      </c>
      <c r="J161" s="21" t="n">
        <v>0</v>
      </c>
      <c r="K161" s="21" t="n">
        <v>1</v>
      </c>
      <c r="L161" s="24" t="n">
        <v>0.08</v>
      </c>
      <c r="M161" s="25">
        <f>I161*Resumo!$C$6</f>
        <v/>
      </c>
      <c r="N161" s="25">
        <f>IF(I161&gt;0,Resumo!$C$7,0)</f>
        <v/>
      </c>
      <c r="O161" s="25">
        <f>M161+N161</f>
        <v/>
      </c>
      <c r="P161" s="21" t="n">
        <v>0</v>
      </c>
      <c r="Q161" s="25" t="n">
        <v>0</v>
      </c>
      <c r="R161" s="25" t="n">
        <v>0</v>
      </c>
      <c r="S161" s="25">
        <f>Q161*Resumo!$C$8</f>
        <v/>
      </c>
      <c r="T161" s="25">
        <f>S161-R161-O161</f>
        <v/>
      </c>
      <c r="U161" s="26">
        <f>IF(O161&gt;0,Q161/O161,0)</f>
        <v/>
      </c>
      <c r="V161" s="24">
        <f>IF(O161&gt;0,T161/O161,0)</f>
        <v/>
      </c>
    </row>
    <row r="162">
      <c r="A162" s="27" t="n">
        <v>161</v>
      </c>
      <c r="B162" s="28" t="inlineStr">
        <is>
          <t>Fadinha47</t>
        </is>
      </c>
      <c r="C162" s="28" t="inlineStr">
        <is>
          <t>@.fafa8484</t>
        </is>
      </c>
      <c r="D162" s="29" t="inlineStr">
        <is>
          <t>Nada enviado</t>
        </is>
      </c>
      <c r="E162" s="27" t="inlineStr">
        <is>
          <t>—</t>
        </is>
      </c>
      <c r="F162" s="27" t="inlineStr">
        <is>
          <t>—</t>
        </is>
      </c>
      <c r="G162" s="27" t="inlineStr">
        <is>
          <t>—</t>
        </is>
      </c>
      <c r="H162" s="27" t="n">
        <v>1</v>
      </c>
      <c r="I162" s="27" t="n">
        <v>0</v>
      </c>
      <c r="J162" s="27" t="n">
        <v>1</v>
      </c>
      <c r="K162" s="27" t="n">
        <v>1</v>
      </c>
      <c r="L162" s="30" t="n">
        <v>0.08</v>
      </c>
      <c r="M162" s="31">
        <f>I162*Resumo!$C$6</f>
        <v/>
      </c>
      <c r="N162" s="31">
        <f>IF(I162&gt;0,Resumo!$C$7,0)</f>
        <v/>
      </c>
      <c r="O162" s="31">
        <f>M162+N162</f>
        <v/>
      </c>
      <c r="P162" s="27" t="n">
        <v>0</v>
      </c>
      <c r="Q162" s="31" t="n">
        <v>0</v>
      </c>
      <c r="R162" s="31" t="n">
        <v>0</v>
      </c>
      <c r="S162" s="31">
        <f>Q162*Resumo!$C$8</f>
        <v/>
      </c>
      <c r="T162" s="31">
        <f>S162-R162-O162</f>
        <v/>
      </c>
      <c r="U162" s="32">
        <f>IF(O162&gt;0,Q162/O162,0)</f>
        <v/>
      </c>
      <c r="V162" s="30">
        <f>IF(O162&gt;0,T162/O162,0)</f>
        <v/>
      </c>
    </row>
    <row r="163">
      <c r="A163" s="27" t="n">
        <v>162</v>
      </c>
      <c r="B163" s="28" t="inlineStr">
        <is>
          <t>Ana Luiza</t>
        </is>
      </c>
      <c r="C163" s="28" t="inlineStr">
        <is>
          <t>@_abessas</t>
        </is>
      </c>
      <c r="D163" s="29" t="inlineStr">
        <is>
          <t>Nada enviado</t>
        </is>
      </c>
      <c r="E163" s="27" t="inlineStr">
        <is>
          <t>—</t>
        </is>
      </c>
      <c r="F163" s="27" t="inlineStr">
        <is>
          <t>—</t>
        </is>
      </c>
      <c r="G163" s="27" t="inlineStr">
        <is>
          <t>—</t>
        </is>
      </c>
      <c r="H163" s="27" t="n">
        <v>1</v>
      </c>
      <c r="I163" s="27" t="n">
        <v>0</v>
      </c>
      <c r="J163" s="27" t="n">
        <v>1</v>
      </c>
      <c r="K163" s="27" t="n">
        <v>1</v>
      </c>
      <c r="L163" s="30" t="n">
        <v>0.08</v>
      </c>
      <c r="M163" s="31">
        <f>I163*Resumo!$C$6</f>
        <v/>
      </c>
      <c r="N163" s="31">
        <f>IF(I163&gt;0,Resumo!$C$7,0)</f>
        <v/>
      </c>
      <c r="O163" s="31">
        <f>M163+N163</f>
        <v/>
      </c>
      <c r="P163" s="27" t="n">
        <v>0</v>
      </c>
      <c r="Q163" s="31" t="n">
        <v>0</v>
      </c>
      <c r="R163" s="31" t="n">
        <v>0</v>
      </c>
      <c r="S163" s="31">
        <f>Q163*Resumo!$C$8</f>
        <v/>
      </c>
      <c r="T163" s="31">
        <f>S163-R163-O163</f>
        <v/>
      </c>
      <c r="U163" s="32">
        <f>IF(O163&gt;0,Q163/O163,0)</f>
        <v/>
      </c>
      <c r="V163" s="30">
        <f>IF(O163&gt;0,T163/O163,0)</f>
        <v/>
      </c>
    </row>
    <row r="164">
      <c r="A164" s="27" t="n">
        <v>163</v>
      </c>
      <c r="B164" s="28" t="inlineStr">
        <is>
          <t>Nicole Bauer hair stylist</t>
        </is>
      </c>
      <c r="C164" s="28" t="inlineStr">
        <is>
          <t>@_nicolebauer</t>
        </is>
      </c>
      <c r="D164" s="29" t="inlineStr">
        <is>
          <t>Nada enviado</t>
        </is>
      </c>
      <c r="E164" s="27" t="inlineStr">
        <is>
          <t>—</t>
        </is>
      </c>
      <c r="F164" s="27" t="inlineStr">
        <is>
          <t>—</t>
        </is>
      </c>
      <c r="G164" s="27" t="inlineStr">
        <is>
          <t>—</t>
        </is>
      </c>
      <c r="H164" s="27" t="n">
        <v>1</v>
      </c>
      <c r="I164" s="27" t="n">
        <v>0</v>
      </c>
      <c r="J164" s="27" t="n">
        <v>1</v>
      </c>
      <c r="K164" s="27" t="n">
        <v>1</v>
      </c>
      <c r="L164" s="30" t="n">
        <v>0.08</v>
      </c>
      <c r="M164" s="31">
        <f>I164*Resumo!$C$6</f>
        <v/>
      </c>
      <c r="N164" s="31">
        <f>IF(I164&gt;0,Resumo!$C$7,0)</f>
        <v/>
      </c>
      <c r="O164" s="31">
        <f>M164+N164</f>
        <v/>
      </c>
      <c r="P164" s="27" t="n">
        <v>0</v>
      </c>
      <c r="Q164" s="31" t="n">
        <v>0</v>
      </c>
      <c r="R164" s="31" t="n">
        <v>0</v>
      </c>
      <c r="S164" s="31">
        <f>Q164*Resumo!$C$8</f>
        <v/>
      </c>
      <c r="T164" s="31">
        <f>S164-R164-O164</f>
        <v/>
      </c>
      <c r="U164" s="32">
        <f>IF(O164&gt;0,Q164/O164,0)</f>
        <v/>
      </c>
      <c r="V164" s="30">
        <f>IF(O164&gt;0,T164/O164,0)</f>
        <v/>
      </c>
    </row>
    <row r="165">
      <c r="A165" s="27" t="n">
        <v>164</v>
      </c>
      <c r="B165" s="28" t="inlineStr">
        <is>
          <t>_thaiscristina</t>
        </is>
      </c>
      <c r="C165" s="28" t="inlineStr">
        <is>
          <t>@_thaiscristina</t>
        </is>
      </c>
      <c r="D165" s="29" t="inlineStr">
        <is>
          <t>Nada enviado</t>
        </is>
      </c>
      <c r="E165" s="27" t="inlineStr">
        <is>
          <t>—</t>
        </is>
      </c>
      <c r="F165" s="27" t="inlineStr">
        <is>
          <t>—</t>
        </is>
      </c>
      <c r="G165" s="27" t="inlineStr">
        <is>
          <t>—</t>
        </is>
      </c>
      <c r="H165" s="27" t="n">
        <v>1</v>
      </c>
      <c r="I165" s="27" t="n">
        <v>0</v>
      </c>
      <c r="J165" s="27" t="n">
        <v>1</v>
      </c>
      <c r="K165" s="27" t="n">
        <v>1</v>
      </c>
      <c r="L165" s="30" t="n">
        <v>0.08</v>
      </c>
      <c r="M165" s="31">
        <f>I165*Resumo!$C$6</f>
        <v/>
      </c>
      <c r="N165" s="31">
        <f>IF(I165&gt;0,Resumo!$C$7,0)</f>
        <v/>
      </c>
      <c r="O165" s="31">
        <f>M165+N165</f>
        <v/>
      </c>
      <c r="P165" s="27" t="n">
        <v>0</v>
      </c>
      <c r="Q165" s="31" t="n">
        <v>0</v>
      </c>
      <c r="R165" s="31" t="n">
        <v>0</v>
      </c>
      <c r="S165" s="31">
        <f>Q165*Resumo!$C$8</f>
        <v/>
      </c>
      <c r="T165" s="31">
        <f>S165-R165-O165</f>
        <v/>
      </c>
      <c r="U165" s="32">
        <f>IF(O165&gt;0,Q165/O165,0)</f>
        <v/>
      </c>
      <c r="V165" s="30">
        <f>IF(O165&gt;0,T165/O165,0)</f>
        <v/>
      </c>
    </row>
    <row r="166">
      <c r="A166" s="27" t="n">
        <v>165</v>
      </c>
      <c r="B166" s="28" t="inlineStr">
        <is>
          <t>FLAVIA</t>
        </is>
      </c>
      <c r="C166" s="28" t="inlineStr">
        <is>
          <t>@a.fla.loira</t>
        </is>
      </c>
      <c r="D166" s="29" t="inlineStr">
        <is>
          <t>Nada enviado</t>
        </is>
      </c>
      <c r="E166" s="27" t="inlineStr">
        <is>
          <t>—</t>
        </is>
      </c>
      <c r="F166" s="27" t="inlineStr">
        <is>
          <t>—</t>
        </is>
      </c>
      <c r="G166" s="27" t="inlineStr">
        <is>
          <t>—</t>
        </is>
      </c>
      <c r="H166" s="27" t="n">
        <v>1</v>
      </c>
      <c r="I166" s="27" t="n">
        <v>0</v>
      </c>
      <c r="J166" s="27" t="n">
        <v>1</v>
      </c>
      <c r="K166" s="27" t="n">
        <v>1</v>
      </c>
      <c r="L166" s="30" t="n">
        <v>0.08</v>
      </c>
      <c r="M166" s="31">
        <f>I166*Resumo!$C$6</f>
        <v/>
      </c>
      <c r="N166" s="31">
        <f>IF(I166&gt;0,Resumo!$C$7,0)</f>
        <v/>
      </c>
      <c r="O166" s="31">
        <f>M166+N166</f>
        <v/>
      </c>
      <c r="P166" s="27" t="n">
        <v>0</v>
      </c>
      <c r="Q166" s="31" t="n">
        <v>0</v>
      </c>
      <c r="R166" s="31" t="n">
        <v>0</v>
      </c>
      <c r="S166" s="31">
        <f>Q166*Resumo!$C$8</f>
        <v/>
      </c>
      <c r="T166" s="31">
        <f>S166-R166-O166</f>
        <v/>
      </c>
      <c r="U166" s="32">
        <f>IF(O166&gt;0,Q166/O166,0)</f>
        <v/>
      </c>
      <c r="V166" s="30">
        <f>IF(O166&gt;0,T166/O166,0)</f>
        <v/>
      </c>
    </row>
    <row r="167">
      <c r="A167" s="27" t="n">
        <v>166</v>
      </c>
      <c r="B167" s="28" t="inlineStr">
        <is>
          <t>Jessica Queiroz</t>
        </is>
      </c>
      <c r="C167" s="28" t="inlineStr">
        <is>
          <t>@a.jeeh1</t>
        </is>
      </c>
      <c r="D167" s="29" t="inlineStr">
        <is>
          <t>Nada enviado</t>
        </is>
      </c>
      <c r="E167" s="27" t="inlineStr">
        <is>
          <t>—</t>
        </is>
      </c>
      <c r="F167" s="27" t="inlineStr">
        <is>
          <t>—</t>
        </is>
      </c>
      <c r="G167" s="27" t="inlineStr">
        <is>
          <t>—</t>
        </is>
      </c>
      <c r="H167" s="27" t="n">
        <v>1</v>
      </c>
      <c r="I167" s="27" t="n">
        <v>0</v>
      </c>
      <c r="J167" s="27" t="n">
        <v>1</v>
      </c>
      <c r="K167" s="27" t="n">
        <v>1</v>
      </c>
      <c r="L167" s="30" t="n">
        <v>0.08</v>
      </c>
      <c r="M167" s="31">
        <f>I167*Resumo!$C$6</f>
        <v/>
      </c>
      <c r="N167" s="31">
        <f>IF(I167&gt;0,Resumo!$C$7,0)</f>
        <v/>
      </c>
      <c r="O167" s="31">
        <f>M167+N167</f>
        <v/>
      </c>
      <c r="P167" s="27" t="n">
        <v>0</v>
      </c>
      <c r="Q167" s="31" t="n">
        <v>0</v>
      </c>
      <c r="R167" s="31" t="n">
        <v>0</v>
      </c>
      <c r="S167" s="31">
        <f>Q167*Resumo!$C$8</f>
        <v/>
      </c>
      <c r="T167" s="31">
        <f>S167-R167-O167</f>
        <v/>
      </c>
      <c r="U167" s="32">
        <f>IF(O167&gt;0,Q167/O167,0)</f>
        <v/>
      </c>
      <c r="V167" s="30">
        <f>IF(O167&gt;0,T167/O167,0)</f>
        <v/>
      </c>
    </row>
    <row r="168">
      <c r="A168" s="27" t="n">
        <v>167</v>
      </c>
      <c r="B168" s="28" t="inlineStr">
        <is>
          <t>Adriana</t>
        </is>
      </c>
      <c r="C168" s="28" t="inlineStr">
        <is>
          <t>@aadrianam_</t>
        </is>
      </c>
      <c r="D168" s="29" t="inlineStr">
        <is>
          <t>Nada enviado</t>
        </is>
      </c>
      <c r="E168" s="27" t="inlineStr">
        <is>
          <t>—</t>
        </is>
      </c>
      <c r="F168" s="27" t="inlineStr">
        <is>
          <t>—</t>
        </is>
      </c>
      <c r="G168" s="27" t="inlineStr">
        <is>
          <t>—</t>
        </is>
      </c>
      <c r="H168" s="27" t="n">
        <v>1</v>
      </c>
      <c r="I168" s="27" t="n">
        <v>0</v>
      </c>
      <c r="J168" s="27" t="n">
        <v>1</v>
      </c>
      <c r="K168" s="27" t="n">
        <v>1</v>
      </c>
      <c r="L168" s="30" t="n">
        <v>0.08</v>
      </c>
      <c r="M168" s="31">
        <f>I168*Resumo!$C$6</f>
        <v/>
      </c>
      <c r="N168" s="31">
        <f>IF(I168&gt;0,Resumo!$C$7,0)</f>
        <v/>
      </c>
      <c r="O168" s="31">
        <f>M168+N168</f>
        <v/>
      </c>
      <c r="P168" s="27" t="n">
        <v>0</v>
      </c>
      <c r="Q168" s="31" t="n">
        <v>0</v>
      </c>
      <c r="R168" s="31" t="n">
        <v>0</v>
      </c>
      <c r="S168" s="31">
        <f>Q168*Resumo!$C$8</f>
        <v/>
      </c>
      <c r="T168" s="31">
        <f>S168-R168-O168</f>
        <v/>
      </c>
      <c r="U168" s="32">
        <f>IF(O168&gt;0,Q168/O168,0)</f>
        <v/>
      </c>
      <c r="V168" s="30">
        <f>IF(O168&gt;0,T168/O168,0)</f>
        <v/>
      </c>
    </row>
    <row r="169">
      <c r="A169" s="27" t="n">
        <v>168</v>
      </c>
      <c r="B169" s="28" t="inlineStr">
        <is>
          <t>Amanda Boaventura | TiktokShop</t>
        </is>
      </c>
      <c r="C169" s="28" t="inlineStr">
        <is>
          <t>@aamandaboaventura</t>
        </is>
      </c>
      <c r="D169" s="29" t="inlineStr">
        <is>
          <t>Nada enviado</t>
        </is>
      </c>
      <c r="E169" s="27" t="inlineStr">
        <is>
          <t>—</t>
        </is>
      </c>
      <c r="F169" s="27" t="inlineStr">
        <is>
          <t>—</t>
        </is>
      </c>
      <c r="G169" s="27" t="inlineStr">
        <is>
          <t>—</t>
        </is>
      </c>
      <c r="H169" s="27" t="n">
        <v>1</v>
      </c>
      <c r="I169" s="27" t="n">
        <v>0</v>
      </c>
      <c r="J169" s="27" t="n">
        <v>1</v>
      </c>
      <c r="K169" s="27" t="n">
        <v>1</v>
      </c>
      <c r="L169" s="30" t="n">
        <v>0.08</v>
      </c>
      <c r="M169" s="31">
        <f>I169*Resumo!$C$6</f>
        <v/>
      </c>
      <c r="N169" s="31">
        <f>IF(I169&gt;0,Resumo!$C$7,0)</f>
        <v/>
      </c>
      <c r="O169" s="31">
        <f>M169+N169</f>
        <v/>
      </c>
      <c r="P169" s="27" t="n">
        <v>0</v>
      </c>
      <c r="Q169" s="31" t="n">
        <v>0</v>
      </c>
      <c r="R169" s="31" t="n">
        <v>0</v>
      </c>
      <c r="S169" s="31">
        <f>Q169*Resumo!$C$8</f>
        <v/>
      </c>
      <c r="T169" s="31">
        <f>S169-R169-O169</f>
        <v/>
      </c>
      <c r="U169" s="32">
        <f>IF(O169&gt;0,Q169/O169,0)</f>
        <v/>
      </c>
      <c r="V169" s="30">
        <f>IF(O169&gt;0,T169/O169,0)</f>
        <v/>
      </c>
    </row>
    <row r="170">
      <c r="A170" s="27" t="n">
        <v>169</v>
      </c>
      <c r="B170" s="28" t="inlineStr">
        <is>
          <t>Adriele Ferreira</t>
        </is>
      </c>
      <c r="C170" s="28" t="inlineStr">
        <is>
          <t>@adrieleferreiradommi</t>
        </is>
      </c>
      <c r="D170" s="29" t="inlineStr">
        <is>
          <t>Nada enviado</t>
        </is>
      </c>
      <c r="E170" s="27" t="inlineStr">
        <is>
          <t>—</t>
        </is>
      </c>
      <c r="F170" s="27" t="inlineStr">
        <is>
          <t>—</t>
        </is>
      </c>
      <c r="G170" s="27" t="inlineStr">
        <is>
          <t>—</t>
        </is>
      </c>
      <c r="H170" s="27" t="n">
        <v>1</v>
      </c>
      <c r="I170" s="27" t="n">
        <v>0</v>
      </c>
      <c r="J170" s="27" t="n">
        <v>1</v>
      </c>
      <c r="K170" s="27" t="n">
        <v>1</v>
      </c>
      <c r="L170" s="30" t="n">
        <v>0.08</v>
      </c>
      <c r="M170" s="31">
        <f>I170*Resumo!$C$6</f>
        <v/>
      </c>
      <c r="N170" s="31">
        <f>IF(I170&gt;0,Resumo!$C$7,0)</f>
        <v/>
      </c>
      <c r="O170" s="31">
        <f>M170+N170</f>
        <v/>
      </c>
      <c r="P170" s="27" t="n">
        <v>0</v>
      </c>
      <c r="Q170" s="31" t="n">
        <v>0</v>
      </c>
      <c r="R170" s="31" t="n">
        <v>0</v>
      </c>
      <c r="S170" s="31">
        <f>Q170*Resumo!$C$8</f>
        <v/>
      </c>
      <c r="T170" s="31">
        <f>S170-R170-O170</f>
        <v/>
      </c>
      <c r="U170" s="32">
        <f>IF(O170&gt;0,Q170/O170,0)</f>
        <v/>
      </c>
      <c r="V170" s="30">
        <f>IF(O170&gt;0,T170/O170,0)</f>
        <v/>
      </c>
    </row>
    <row r="171">
      <c r="A171" s="27" t="n">
        <v>170</v>
      </c>
      <c r="B171" s="28" t="inlineStr">
        <is>
          <t>aisamoreiraa</t>
        </is>
      </c>
      <c r="C171" s="28" t="inlineStr">
        <is>
          <t>@aisamoreiraa1</t>
        </is>
      </c>
      <c r="D171" s="29" t="inlineStr">
        <is>
          <t>Nada enviado</t>
        </is>
      </c>
      <c r="E171" s="27" t="inlineStr">
        <is>
          <t>—</t>
        </is>
      </c>
      <c r="F171" s="27" t="inlineStr">
        <is>
          <t>—</t>
        </is>
      </c>
      <c r="G171" s="27" t="inlineStr">
        <is>
          <t>—</t>
        </is>
      </c>
      <c r="H171" s="27" t="n">
        <v>1</v>
      </c>
      <c r="I171" s="27" t="n">
        <v>0</v>
      </c>
      <c r="J171" s="27" t="n">
        <v>1</v>
      </c>
      <c r="K171" s="27" t="n">
        <v>1</v>
      </c>
      <c r="L171" s="30" t="n">
        <v>0.08</v>
      </c>
      <c r="M171" s="31">
        <f>I171*Resumo!$C$6</f>
        <v/>
      </c>
      <c r="N171" s="31">
        <f>IF(I171&gt;0,Resumo!$C$7,0)</f>
        <v/>
      </c>
      <c r="O171" s="31">
        <f>M171+N171</f>
        <v/>
      </c>
      <c r="P171" s="27" t="n">
        <v>0</v>
      </c>
      <c r="Q171" s="31" t="n">
        <v>0</v>
      </c>
      <c r="R171" s="31" t="n">
        <v>0</v>
      </c>
      <c r="S171" s="31">
        <f>Q171*Resumo!$C$8</f>
        <v/>
      </c>
      <c r="T171" s="31">
        <f>S171-R171-O171</f>
        <v/>
      </c>
      <c r="U171" s="32">
        <f>IF(O171&gt;0,Q171/O171,0)</f>
        <v/>
      </c>
      <c r="V171" s="30">
        <f>IF(O171&gt;0,T171/O171,0)</f>
        <v/>
      </c>
    </row>
    <row r="172">
      <c r="A172" s="27" t="n">
        <v>171</v>
      </c>
      <c r="B172" s="28" t="inlineStr">
        <is>
          <t>Jéssica Alves</t>
        </is>
      </c>
      <c r="C172" s="28" t="inlineStr">
        <is>
          <t>@ajessicaalvesaraujo</t>
        </is>
      </c>
      <c r="D172" s="29" t="inlineStr">
        <is>
          <t>Nada enviado</t>
        </is>
      </c>
      <c r="E172" s="27" t="inlineStr">
        <is>
          <t>—</t>
        </is>
      </c>
      <c r="F172" s="27" t="inlineStr">
        <is>
          <t>—</t>
        </is>
      </c>
      <c r="G172" s="27" t="inlineStr">
        <is>
          <t>—</t>
        </is>
      </c>
      <c r="H172" s="27" t="n">
        <v>1</v>
      </c>
      <c r="I172" s="27" t="n">
        <v>0</v>
      </c>
      <c r="J172" s="27" t="n">
        <v>1</v>
      </c>
      <c r="K172" s="27" t="n">
        <v>1</v>
      </c>
      <c r="L172" s="30" t="n">
        <v>0.08</v>
      </c>
      <c r="M172" s="31">
        <f>I172*Resumo!$C$6</f>
        <v/>
      </c>
      <c r="N172" s="31">
        <f>IF(I172&gt;0,Resumo!$C$7,0)</f>
        <v/>
      </c>
      <c r="O172" s="31">
        <f>M172+N172</f>
        <v/>
      </c>
      <c r="P172" s="27" t="n">
        <v>0</v>
      </c>
      <c r="Q172" s="31" t="n">
        <v>0</v>
      </c>
      <c r="R172" s="31" t="n">
        <v>0</v>
      </c>
      <c r="S172" s="31">
        <f>Q172*Resumo!$C$8</f>
        <v/>
      </c>
      <c r="T172" s="31">
        <f>S172-R172-O172</f>
        <v/>
      </c>
      <c r="U172" s="32">
        <f>IF(O172&gt;0,Q172/O172,0)</f>
        <v/>
      </c>
      <c r="V172" s="30">
        <f>IF(O172&gt;0,T172/O172,0)</f>
        <v/>
      </c>
    </row>
    <row r="173">
      <c r="A173" s="27" t="n">
        <v>172</v>
      </c>
      <c r="B173" s="28" t="inlineStr">
        <is>
          <t>Amanda Sierra</t>
        </is>
      </c>
      <c r="C173" s="28" t="inlineStr">
        <is>
          <t>@amandaasierr</t>
        </is>
      </c>
      <c r="D173" s="29" t="inlineStr">
        <is>
          <t>Nada enviado</t>
        </is>
      </c>
      <c r="E173" s="27" t="inlineStr">
        <is>
          <t>—</t>
        </is>
      </c>
      <c r="F173" s="27" t="inlineStr">
        <is>
          <t>—</t>
        </is>
      </c>
      <c r="G173" s="27" t="inlineStr">
        <is>
          <t>—</t>
        </is>
      </c>
      <c r="H173" s="27" t="n">
        <v>1</v>
      </c>
      <c r="I173" s="27" t="n">
        <v>0</v>
      </c>
      <c r="J173" s="27" t="n">
        <v>1</v>
      </c>
      <c r="K173" s="27" t="n">
        <v>1</v>
      </c>
      <c r="L173" s="30" t="n">
        <v>0.08</v>
      </c>
      <c r="M173" s="31">
        <f>I173*Resumo!$C$6</f>
        <v/>
      </c>
      <c r="N173" s="31">
        <f>IF(I173&gt;0,Resumo!$C$7,0)</f>
        <v/>
      </c>
      <c r="O173" s="31">
        <f>M173+N173</f>
        <v/>
      </c>
      <c r="P173" s="27" t="n">
        <v>0</v>
      </c>
      <c r="Q173" s="31" t="n">
        <v>0</v>
      </c>
      <c r="R173" s="31" t="n">
        <v>0</v>
      </c>
      <c r="S173" s="31">
        <f>Q173*Resumo!$C$8</f>
        <v/>
      </c>
      <c r="T173" s="31">
        <f>S173-R173-O173</f>
        <v/>
      </c>
      <c r="U173" s="32">
        <f>IF(O173&gt;0,Q173/O173,0)</f>
        <v/>
      </c>
      <c r="V173" s="30">
        <f>IF(O173&gt;0,T173/O173,0)</f>
        <v/>
      </c>
    </row>
    <row r="174">
      <c r="A174" s="27" t="n">
        <v>173</v>
      </c>
      <c r="B174" s="28" t="inlineStr">
        <is>
          <t>Amanda Gomes</t>
        </is>
      </c>
      <c r="C174" s="28" t="inlineStr">
        <is>
          <t>@amandgomees_</t>
        </is>
      </c>
      <c r="D174" s="29" t="inlineStr">
        <is>
          <t>Nada enviado</t>
        </is>
      </c>
      <c r="E174" s="27" t="inlineStr">
        <is>
          <t>—</t>
        </is>
      </c>
      <c r="F174" s="27" t="inlineStr">
        <is>
          <t>—</t>
        </is>
      </c>
      <c r="G174" s="27" t="inlineStr">
        <is>
          <t>—</t>
        </is>
      </c>
      <c r="H174" s="27" t="n">
        <v>1</v>
      </c>
      <c r="I174" s="27" t="n">
        <v>0</v>
      </c>
      <c r="J174" s="27" t="n">
        <v>1</v>
      </c>
      <c r="K174" s="27" t="n">
        <v>1</v>
      </c>
      <c r="L174" s="30" t="n">
        <v>0.08</v>
      </c>
      <c r="M174" s="31">
        <f>I174*Resumo!$C$6</f>
        <v/>
      </c>
      <c r="N174" s="31">
        <f>IF(I174&gt;0,Resumo!$C$7,0)</f>
        <v/>
      </c>
      <c r="O174" s="31">
        <f>M174+N174</f>
        <v/>
      </c>
      <c r="P174" s="27" t="n">
        <v>0</v>
      </c>
      <c r="Q174" s="31" t="n">
        <v>0</v>
      </c>
      <c r="R174" s="31" t="n">
        <v>0</v>
      </c>
      <c r="S174" s="31">
        <f>Q174*Resumo!$C$8</f>
        <v/>
      </c>
      <c r="T174" s="31">
        <f>S174-R174-O174</f>
        <v/>
      </c>
      <c r="U174" s="32">
        <f>IF(O174&gt;0,Q174/O174,0)</f>
        <v/>
      </c>
      <c r="V174" s="30">
        <f>IF(O174&gt;0,T174/O174,0)</f>
        <v/>
      </c>
    </row>
    <row r="175">
      <c r="A175" s="27" t="n">
        <v>174</v>
      </c>
      <c r="B175" s="28" t="inlineStr">
        <is>
          <t>Ana 💫</t>
        </is>
      </c>
      <c r="C175" s="28" t="inlineStr">
        <is>
          <t>@anapaulabasili</t>
        </is>
      </c>
      <c r="D175" s="29" t="inlineStr">
        <is>
          <t>Nada enviado</t>
        </is>
      </c>
      <c r="E175" s="27" t="inlineStr">
        <is>
          <t>—</t>
        </is>
      </c>
      <c r="F175" s="27" t="inlineStr">
        <is>
          <t>—</t>
        </is>
      </c>
      <c r="G175" s="27" t="inlineStr">
        <is>
          <t>—</t>
        </is>
      </c>
      <c r="H175" s="27" t="n">
        <v>1</v>
      </c>
      <c r="I175" s="27" t="n">
        <v>0</v>
      </c>
      <c r="J175" s="27" t="n">
        <v>1</v>
      </c>
      <c r="K175" s="27" t="n">
        <v>1</v>
      </c>
      <c r="L175" s="30" t="n">
        <v>0.08</v>
      </c>
      <c r="M175" s="31">
        <f>I175*Resumo!$C$6</f>
        <v/>
      </c>
      <c r="N175" s="31">
        <f>IF(I175&gt;0,Resumo!$C$7,0)</f>
        <v/>
      </c>
      <c r="O175" s="31">
        <f>M175+N175</f>
        <v/>
      </c>
      <c r="P175" s="27" t="n">
        <v>0</v>
      </c>
      <c r="Q175" s="31" t="n">
        <v>0</v>
      </c>
      <c r="R175" s="31" t="n">
        <v>0</v>
      </c>
      <c r="S175" s="31">
        <f>Q175*Resumo!$C$8</f>
        <v/>
      </c>
      <c r="T175" s="31">
        <f>S175-R175-O175</f>
        <v/>
      </c>
      <c r="U175" s="32">
        <f>IF(O175&gt;0,Q175/O175,0)</f>
        <v/>
      </c>
      <c r="V175" s="30">
        <f>IF(O175&gt;0,T175/O175,0)</f>
        <v/>
      </c>
    </row>
    <row r="176">
      <c r="A176" s="27" t="n">
        <v>175</v>
      </c>
      <c r="B176" s="28" t="inlineStr">
        <is>
          <t>Ana Paula Borges</t>
        </is>
      </c>
      <c r="C176" s="28" t="inlineStr">
        <is>
          <t>@anapaulaviborges</t>
        </is>
      </c>
      <c r="D176" s="29" t="inlineStr">
        <is>
          <t>Nada enviado</t>
        </is>
      </c>
      <c r="E176" s="27" t="inlineStr">
        <is>
          <t>—</t>
        </is>
      </c>
      <c r="F176" s="27" t="inlineStr">
        <is>
          <t>—</t>
        </is>
      </c>
      <c r="G176" s="27" t="inlineStr">
        <is>
          <t>—</t>
        </is>
      </c>
      <c r="H176" s="27" t="n">
        <v>2</v>
      </c>
      <c r="I176" s="27" t="n">
        <v>0</v>
      </c>
      <c r="J176" s="27" t="n">
        <v>2</v>
      </c>
      <c r="K176" s="27" t="n">
        <v>1</v>
      </c>
      <c r="L176" s="30" t="n">
        <v>0.08</v>
      </c>
      <c r="M176" s="31">
        <f>I176*Resumo!$C$6</f>
        <v/>
      </c>
      <c r="N176" s="31">
        <f>IF(I176&gt;0,Resumo!$C$7,0)</f>
        <v/>
      </c>
      <c r="O176" s="31">
        <f>M176+N176</f>
        <v/>
      </c>
      <c r="P176" s="27" t="n">
        <v>0</v>
      </c>
      <c r="Q176" s="31" t="n">
        <v>0</v>
      </c>
      <c r="R176" s="31" t="n">
        <v>0</v>
      </c>
      <c r="S176" s="31">
        <f>Q176*Resumo!$C$8</f>
        <v/>
      </c>
      <c r="T176" s="31">
        <f>S176-R176-O176</f>
        <v/>
      </c>
      <c r="U176" s="32">
        <f>IF(O176&gt;0,Q176/O176,0)</f>
        <v/>
      </c>
      <c r="V176" s="30">
        <f>IF(O176&gt;0,T176/O176,0)</f>
        <v/>
      </c>
    </row>
    <row r="177">
      <c r="A177" s="27" t="n">
        <v>176</v>
      </c>
      <c r="B177" s="28" t="inlineStr">
        <is>
          <t>Ana Souza</t>
        </is>
      </c>
      <c r="C177" s="28" t="inlineStr">
        <is>
          <t>@anasouzashop</t>
        </is>
      </c>
      <c r="D177" s="29" t="inlineStr">
        <is>
          <t>Nada enviado</t>
        </is>
      </c>
      <c r="E177" s="27" t="inlineStr">
        <is>
          <t>—</t>
        </is>
      </c>
      <c r="F177" s="27" t="inlineStr">
        <is>
          <t>—</t>
        </is>
      </c>
      <c r="G177" s="27" t="inlineStr">
        <is>
          <t>—</t>
        </is>
      </c>
      <c r="H177" s="27" t="n">
        <v>1</v>
      </c>
      <c r="I177" s="27" t="n">
        <v>0</v>
      </c>
      <c r="J177" s="27" t="n">
        <v>1</v>
      </c>
      <c r="K177" s="27" t="n">
        <v>1</v>
      </c>
      <c r="L177" s="30" t="n">
        <v>0.08</v>
      </c>
      <c r="M177" s="31">
        <f>I177*Resumo!$C$6</f>
        <v/>
      </c>
      <c r="N177" s="31">
        <f>IF(I177&gt;0,Resumo!$C$7,0)</f>
        <v/>
      </c>
      <c r="O177" s="31">
        <f>M177+N177</f>
        <v/>
      </c>
      <c r="P177" s="27" t="n">
        <v>0</v>
      </c>
      <c r="Q177" s="31" t="n">
        <v>0</v>
      </c>
      <c r="R177" s="31" t="n">
        <v>0</v>
      </c>
      <c r="S177" s="31">
        <f>Q177*Resumo!$C$8</f>
        <v/>
      </c>
      <c r="T177" s="31">
        <f>S177-R177-O177</f>
        <v/>
      </c>
      <c r="U177" s="32">
        <f>IF(O177&gt;0,Q177/O177,0)</f>
        <v/>
      </c>
      <c r="V177" s="30">
        <f>IF(O177&gt;0,T177/O177,0)</f>
        <v/>
      </c>
    </row>
    <row r="178">
      <c r="A178" s="27" t="n">
        <v>177</v>
      </c>
      <c r="B178" s="28" t="inlineStr">
        <is>
          <t>Andressa &amp; Alisson</t>
        </is>
      </c>
      <c r="C178" s="28" t="inlineStr">
        <is>
          <t>@andressa.alysso</t>
        </is>
      </c>
      <c r="D178" s="29" t="inlineStr">
        <is>
          <t>Nada enviado</t>
        </is>
      </c>
      <c r="E178" s="27" t="inlineStr">
        <is>
          <t>—</t>
        </is>
      </c>
      <c r="F178" s="27" t="inlineStr">
        <is>
          <t>—</t>
        </is>
      </c>
      <c r="G178" s="27" t="inlineStr">
        <is>
          <t>—</t>
        </is>
      </c>
      <c r="H178" s="27" t="n">
        <v>2</v>
      </c>
      <c r="I178" s="27" t="n">
        <v>0</v>
      </c>
      <c r="J178" s="27" t="n">
        <v>2</v>
      </c>
      <c r="K178" s="27" t="n">
        <v>1</v>
      </c>
      <c r="L178" s="30" t="n">
        <v>0.08</v>
      </c>
      <c r="M178" s="31">
        <f>I178*Resumo!$C$6</f>
        <v/>
      </c>
      <c r="N178" s="31">
        <f>IF(I178&gt;0,Resumo!$C$7,0)</f>
        <v/>
      </c>
      <c r="O178" s="31">
        <f>M178+N178</f>
        <v/>
      </c>
      <c r="P178" s="27" t="n">
        <v>0</v>
      </c>
      <c r="Q178" s="31" t="n">
        <v>0</v>
      </c>
      <c r="R178" s="31" t="n">
        <v>0</v>
      </c>
      <c r="S178" s="31">
        <f>Q178*Resumo!$C$8</f>
        <v/>
      </c>
      <c r="T178" s="31">
        <f>S178-R178-O178</f>
        <v/>
      </c>
      <c r="U178" s="32">
        <f>IF(O178&gt;0,Q178/O178,0)</f>
        <v/>
      </c>
      <c r="V178" s="30">
        <f>IF(O178&gt;0,T178/O178,0)</f>
        <v/>
      </c>
    </row>
    <row r="179">
      <c r="A179" s="27" t="n">
        <v>178</v>
      </c>
      <c r="B179" s="28" t="inlineStr">
        <is>
          <t>Andreza | Shop creator</t>
        </is>
      </c>
      <c r="C179" s="28" t="inlineStr">
        <is>
          <t>@andreza.keniia</t>
        </is>
      </c>
      <c r="D179" s="29" t="inlineStr">
        <is>
          <t>Nada enviado</t>
        </is>
      </c>
      <c r="E179" s="27" t="inlineStr">
        <is>
          <t>—</t>
        </is>
      </c>
      <c r="F179" s="27" t="inlineStr">
        <is>
          <t>—</t>
        </is>
      </c>
      <c r="G179" s="27" t="inlineStr">
        <is>
          <t>—</t>
        </is>
      </c>
      <c r="H179" s="27" t="n">
        <v>1</v>
      </c>
      <c r="I179" s="27" t="n">
        <v>0</v>
      </c>
      <c r="J179" s="27" t="n">
        <v>1</v>
      </c>
      <c r="K179" s="27" t="n">
        <v>1</v>
      </c>
      <c r="L179" s="30" t="n">
        <v>0.08</v>
      </c>
      <c r="M179" s="31">
        <f>I179*Resumo!$C$6</f>
        <v/>
      </c>
      <c r="N179" s="31">
        <f>IF(I179&gt;0,Resumo!$C$7,0)</f>
        <v/>
      </c>
      <c r="O179" s="31">
        <f>M179+N179</f>
        <v/>
      </c>
      <c r="P179" s="27" t="n">
        <v>0</v>
      </c>
      <c r="Q179" s="31" t="n">
        <v>0</v>
      </c>
      <c r="R179" s="31" t="n">
        <v>0</v>
      </c>
      <c r="S179" s="31">
        <f>Q179*Resumo!$C$8</f>
        <v/>
      </c>
      <c r="T179" s="31">
        <f>S179-R179-O179</f>
        <v/>
      </c>
      <c r="U179" s="32">
        <f>IF(O179&gt;0,Q179/O179,0)</f>
        <v/>
      </c>
      <c r="V179" s="30">
        <f>IF(O179&gt;0,T179/O179,0)</f>
        <v/>
      </c>
    </row>
    <row r="180">
      <c r="A180" s="27" t="n">
        <v>179</v>
      </c>
      <c r="B180" s="28" t="inlineStr">
        <is>
          <t>Ana Paula Creator 💞</t>
        </is>
      </c>
      <c r="C180" s="28" t="inlineStr">
        <is>
          <t>@anna.p.silva</t>
        </is>
      </c>
      <c r="D180" s="29" t="inlineStr">
        <is>
          <t>Nada enviado</t>
        </is>
      </c>
      <c r="E180" s="27" t="inlineStr">
        <is>
          <t>—</t>
        </is>
      </c>
      <c r="F180" s="27" t="inlineStr">
        <is>
          <t>—</t>
        </is>
      </c>
      <c r="G180" s="27" t="inlineStr">
        <is>
          <t>—</t>
        </is>
      </c>
      <c r="H180" s="27" t="n">
        <v>1</v>
      </c>
      <c r="I180" s="27" t="n">
        <v>0</v>
      </c>
      <c r="J180" s="27" t="n">
        <v>1</v>
      </c>
      <c r="K180" s="27" t="n">
        <v>1</v>
      </c>
      <c r="L180" s="30" t="n">
        <v>0.08</v>
      </c>
      <c r="M180" s="31">
        <f>I180*Resumo!$C$6</f>
        <v/>
      </c>
      <c r="N180" s="31">
        <f>IF(I180&gt;0,Resumo!$C$7,0)</f>
        <v/>
      </c>
      <c r="O180" s="31">
        <f>M180+N180</f>
        <v/>
      </c>
      <c r="P180" s="27" t="n">
        <v>0</v>
      </c>
      <c r="Q180" s="31" t="n">
        <v>0</v>
      </c>
      <c r="R180" s="31" t="n">
        <v>0</v>
      </c>
      <c r="S180" s="31">
        <f>Q180*Resumo!$C$8</f>
        <v/>
      </c>
      <c r="T180" s="31">
        <f>S180-R180-O180</f>
        <v/>
      </c>
      <c r="U180" s="32">
        <f>IF(O180&gt;0,Q180/O180,0)</f>
        <v/>
      </c>
      <c r="V180" s="30">
        <f>IF(O180&gt;0,T180/O180,0)</f>
        <v/>
      </c>
    </row>
    <row r="181">
      <c r="A181" s="27" t="n">
        <v>180</v>
      </c>
      <c r="B181" s="28" t="inlineStr">
        <is>
          <t>Ana Damas</t>
        </is>
      </c>
      <c r="C181" s="28" t="inlineStr">
        <is>
          <t>@anydamas30</t>
        </is>
      </c>
      <c r="D181" s="29" t="inlineStr">
        <is>
          <t>Nada enviado</t>
        </is>
      </c>
      <c r="E181" s="27" t="inlineStr">
        <is>
          <t>—</t>
        </is>
      </c>
      <c r="F181" s="27" t="inlineStr">
        <is>
          <t>—</t>
        </is>
      </c>
      <c r="G181" s="27" t="inlineStr">
        <is>
          <t>—</t>
        </is>
      </c>
      <c r="H181" s="27" t="n">
        <v>1</v>
      </c>
      <c r="I181" s="27" t="n">
        <v>0</v>
      </c>
      <c r="J181" s="27" t="n">
        <v>1</v>
      </c>
      <c r="K181" s="27" t="n">
        <v>1</v>
      </c>
      <c r="L181" s="30" t="n">
        <v>0.08</v>
      </c>
      <c r="M181" s="31">
        <f>I181*Resumo!$C$6</f>
        <v/>
      </c>
      <c r="N181" s="31">
        <f>IF(I181&gt;0,Resumo!$C$7,0)</f>
        <v/>
      </c>
      <c r="O181" s="31">
        <f>M181+N181</f>
        <v/>
      </c>
      <c r="P181" s="27" t="n">
        <v>0</v>
      </c>
      <c r="Q181" s="31" t="n">
        <v>0</v>
      </c>
      <c r="R181" s="31" t="n">
        <v>0</v>
      </c>
      <c r="S181" s="31">
        <f>Q181*Resumo!$C$8</f>
        <v/>
      </c>
      <c r="T181" s="31">
        <f>S181-R181-O181</f>
        <v/>
      </c>
      <c r="U181" s="32">
        <f>IF(O181&gt;0,Q181/O181,0)</f>
        <v/>
      </c>
      <c r="V181" s="30">
        <f>IF(O181&gt;0,T181/O181,0)</f>
        <v/>
      </c>
    </row>
    <row r="182">
      <c r="A182" s="27" t="n">
        <v>181</v>
      </c>
      <c r="B182" s="28" t="inlineStr">
        <is>
          <t>baffosdaweb</t>
        </is>
      </c>
      <c r="C182" s="28" t="inlineStr">
        <is>
          <t>@baffosdaweb</t>
        </is>
      </c>
      <c r="D182" s="29" t="inlineStr">
        <is>
          <t>Nada enviado</t>
        </is>
      </c>
      <c r="E182" s="27" t="inlineStr">
        <is>
          <t>—</t>
        </is>
      </c>
      <c r="F182" s="27" t="inlineStr">
        <is>
          <t>—</t>
        </is>
      </c>
      <c r="G182" s="27" t="inlineStr">
        <is>
          <t>—</t>
        </is>
      </c>
      <c r="H182" s="27" t="n">
        <v>1</v>
      </c>
      <c r="I182" s="27" t="n">
        <v>0</v>
      </c>
      <c r="J182" s="27" t="n">
        <v>1</v>
      </c>
      <c r="K182" s="27" t="n">
        <v>1</v>
      </c>
      <c r="L182" s="30" t="n">
        <v>0.08</v>
      </c>
      <c r="M182" s="31">
        <f>I182*Resumo!$C$6</f>
        <v/>
      </c>
      <c r="N182" s="31">
        <f>IF(I182&gt;0,Resumo!$C$7,0)</f>
        <v/>
      </c>
      <c r="O182" s="31">
        <f>M182+N182</f>
        <v/>
      </c>
      <c r="P182" s="27" t="n">
        <v>0</v>
      </c>
      <c r="Q182" s="31" t="n">
        <v>0</v>
      </c>
      <c r="R182" s="31" t="n">
        <v>0</v>
      </c>
      <c r="S182" s="31">
        <f>Q182*Resumo!$C$8</f>
        <v/>
      </c>
      <c r="T182" s="31">
        <f>S182-R182-O182</f>
        <v/>
      </c>
      <c r="U182" s="32">
        <f>IF(O182&gt;0,Q182/O182,0)</f>
        <v/>
      </c>
      <c r="V182" s="30">
        <f>IF(O182&gt;0,T182/O182,0)</f>
        <v/>
      </c>
    </row>
    <row r="183">
      <c r="A183" s="27" t="n">
        <v>182</v>
      </c>
      <c r="B183" s="28" t="inlineStr">
        <is>
          <t>Bea</t>
        </is>
      </c>
      <c r="C183" s="28" t="inlineStr">
        <is>
          <t>@beaporteladics</t>
        </is>
      </c>
      <c r="D183" s="29" t="inlineStr">
        <is>
          <t>Nada enviado</t>
        </is>
      </c>
      <c r="E183" s="27" t="inlineStr">
        <is>
          <t>—</t>
        </is>
      </c>
      <c r="F183" s="27" t="inlineStr">
        <is>
          <t>—</t>
        </is>
      </c>
      <c r="G183" s="27" t="inlineStr">
        <is>
          <t>—</t>
        </is>
      </c>
      <c r="H183" s="27" t="n">
        <v>1</v>
      </c>
      <c r="I183" s="27" t="n">
        <v>0</v>
      </c>
      <c r="J183" s="27" t="n">
        <v>1</v>
      </c>
      <c r="K183" s="27" t="n">
        <v>1</v>
      </c>
      <c r="L183" s="30" t="n">
        <v>0.08</v>
      </c>
      <c r="M183" s="31">
        <f>I183*Resumo!$C$6</f>
        <v/>
      </c>
      <c r="N183" s="31">
        <f>IF(I183&gt;0,Resumo!$C$7,0)</f>
        <v/>
      </c>
      <c r="O183" s="31">
        <f>M183+N183</f>
        <v/>
      </c>
      <c r="P183" s="27" t="n">
        <v>0</v>
      </c>
      <c r="Q183" s="31" t="n">
        <v>0</v>
      </c>
      <c r="R183" s="31" t="n">
        <v>0</v>
      </c>
      <c r="S183" s="31">
        <f>Q183*Resumo!$C$8</f>
        <v/>
      </c>
      <c r="T183" s="31">
        <f>S183-R183-O183</f>
        <v/>
      </c>
      <c r="U183" s="32">
        <f>IF(O183&gt;0,Q183/O183,0)</f>
        <v/>
      </c>
      <c r="V183" s="30">
        <f>IF(O183&gt;0,T183/O183,0)</f>
        <v/>
      </c>
    </row>
    <row r="184">
      <c r="A184" s="27" t="n">
        <v>183</v>
      </c>
      <c r="B184" s="28" t="inlineStr">
        <is>
          <t>biancashopcr</t>
        </is>
      </c>
      <c r="C184" s="28" t="inlineStr">
        <is>
          <t>@biancashopcr</t>
        </is>
      </c>
      <c r="D184" s="29" t="inlineStr">
        <is>
          <t>Nada enviado</t>
        </is>
      </c>
      <c r="E184" s="27" t="inlineStr">
        <is>
          <t>—</t>
        </is>
      </c>
      <c r="F184" s="27" t="inlineStr">
        <is>
          <t>—</t>
        </is>
      </c>
      <c r="G184" s="27" t="inlineStr">
        <is>
          <t>—</t>
        </is>
      </c>
      <c r="H184" s="27" t="n">
        <v>1</v>
      </c>
      <c r="I184" s="27" t="n">
        <v>0</v>
      </c>
      <c r="J184" s="27" t="n">
        <v>1</v>
      </c>
      <c r="K184" s="27" t="n">
        <v>1</v>
      </c>
      <c r="L184" s="30" t="n">
        <v>0.08</v>
      </c>
      <c r="M184" s="31">
        <f>I184*Resumo!$C$6</f>
        <v/>
      </c>
      <c r="N184" s="31">
        <f>IF(I184&gt;0,Resumo!$C$7,0)</f>
        <v/>
      </c>
      <c r="O184" s="31">
        <f>M184+N184</f>
        <v/>
      </c>
      <c r="P184" s="27" t="n">
        <v>0</v>
      </c>
      <c r="Q184" s="31" t="n">
        <v>0</v>
      </c>
      <c r="R184" s="31" t="n">
        <v>0</v>
      </c>
      <c r="S184" s="31">
        <f>Q184*Resumo!$C$8</f>
        <v/>
      </c>
      <c r="T184" s="31">
        <f>S184-R184-O184</f>
        <v/>
      </c>
      <c r="U184" s="32">
        <f>IF(O184&gt;0,Q184/O184,0)</f>
        <v/>
      </c>
      <c r="V184" s="30">
        <f>IF(O184&gt;0,T184/O184,0)</f>
        <v/>
      </c>
    </row>
    <row r="185">
      <c r="A185" s="27" t="n">
        <v>184</v>
      </c>
      <c r="B185" s="28" t="inlineStr">
        <is>
          <t>Bruna e Lilo</t>
        </is>
      </c>
      <c r="C185" s="28" t="inlineStr">
        <is>
          <t>@brunaelilo</t>
        </is>
      </c>
      <c r="D185" s="29" t="inlineStr">
        <is>
          <t>Nada enviado</t>
        </is>
      </c>
      <c r="E185" s="27" t="inlineStr">
        <is>
          <t>—</t>
        </is>
      </c>
      <c r="F185" s="27" t="inlineStr">
        <is>
          <t>—</t>
        </is>
      </c>
      <c r="G185" s="27" t="inlineStr">
        <is>
          <t>—</t>
        </is>
      </c>
      <c r="H185" s="27" t="n">
        <v>1</v>
      </c>
      <c r="I185" s="27" t="n">
        <v>0</v>
      </c>
      <c r="J185" s="27" t="n">
        <v>1</v>
      </c>
      <c r="K185" s="27" t="n">
        <v>1</v>
      </c>
      <c r="L185" s="30" t="n">
        <v>0.08</v>
      </c>
      <c r="M185" s="31">
        <f>I185*Resumo!$C$6</f>
        <v/>
      </c>
      <c r="N185" s="31">
        <f>IF(I185&gt;0,Resumo!$C$7,0)</f>
        <v/>
      </c>
      <c r="O185" s="31">
        <f>M185+N185</f>
        <v/>
      </c>
      <c r="P185" s="27" t="n">
        <v>0</v>
      </c>
      <c r="Q185" s="31" t="n">
        <v>0</v>
      </c>
      <c r="R185" s="31" t="n">
        <v>0</v>
      </c>
      <c r="S185" s="31">
        <f>Q185*Resumo!$C$8</f>
        <v/>
      </c>
      <c r="T185" s="31">
        <f>S185-R185-O185</f>
        <v/>
      </c>
      <c r="U185" s="32">
        <f>IF(O185&gt;0,Q185/O185,0)</f>
        <v/>
      </c>
      <c r="V185" s="30">
        <f>IF(O185&gt;0,T185/O185,0)</f>
        <v/>
      </c>
    </row>
    <row r="186">
      <c r="A186" s="27" t="n">
        <v>185</v>
      </c>
      <c r="B186" s="28" t="inlineStr">
        <is>
          <t>Bru • André</t>
        </is>
      </c>
      <c r="C186" s="28" t="inlineStr">
        <is>
          <t>@brunaoliv.daily</t>
        </is>
      </c>
      <c r="D186" s="29" t="inlineStr">
        <is>
          <t>Nada enviado</t>
        </is>
      </c>
      <c r="E186" s="27" t="inlineStr">
        <is>
          <t>—</t>
        </is>
      </c>
      <c r="F186" s="27" t="inlineStr">
        <is>
          <t>—</t>
        </is>
      </c>
      <c r="G186" s="27" t="inlineStr">
        <is>
          <t>—</t>
        </is>
      </c>
      <c r="H186" s="27" t="n">
        <v>1</v>
      </c>
      <c r="I186" s="27" t="n">
        <v>0</v>
      </c>
      <c r="J186" s="27" t="n">
        <v>1</v>
      </c>
      <c r="K186" s="27" t="n">
        <v>1</v>
      </c>
      <c r="L186" s="30" t="n">
        <v>0.08</v>
      </c>
      <c r="M186" s="31">
        <f>I186*Resumo!$C$6</f>
        <v/>
      </c>
      <c r="N186" s="31">
        <f>IF(I186&gt;0,Resumo!$C$7,0)</f>
        <v/>
      </c>
      <c r="O186" s="31">
        <f>M186+N186</f>
        <v/>
      </c>
      <c r="P186" s="27" t="n">
        <v>0</v>
      </c>
      <c r="Q186" s="31" t="n">
        <v>0</v>
      </c>
      <c r="R186" s="31" t="n">
        <v>0</v>
      </c>
      <c r="S186" s="31">
        <f>Q186*Resumo!$C$8</f>
        <v/>
      </c>
      <c r="T186" s="31">
        <f>S186-R186-O186</f>
        <v/>
      </c>
      <c r="U186" s="32">
        <f>IF(O186&gt;0,Q186/O186,0)</f>
        <v/>
      </c>
      <c r="V186" s="30">
        <f>IF(O186&gt;0,T186/O186,0)</f>
        <v/>
      </c>
    </row>
    <row r="187">
      <c r="A187" s="27" t="n">
        <v>186</v>
      </c>
      <c r="B187" s="28" t="inlineStr">
        <is>
          <t>Bruna Lopes</t>
        </is>
      </c>
      <c r="C187" s="28" t="inlineStr">
        <is>
          <t>@brunatuwane</t>
        </is>
      </c>
      <c r="D187" s="29" t="inlineStr">
        <is>
          <t>Nada enviado</t>
        </is>
      </c>
      <c r="E187" s="27" t="inlineStr">
        <is>
          <t>—</t>
        </is>
      </c>
      <c r="F187" s="27" t="inlineStr">
        <is>
          <t>—</t>
        </is>
      </c>
      <c r="G187" s="27" t="inlineStr">
        <is>
          <t>—</t>
        </is>
      </c>
      <c r="H187" s="27" t="n">
        <v>1</v>
      </c>
      <c r="I187" s="27" t="n">
        <v>0</v>
      </c>
      <c r="J187" s="27" t="n">
        <v>1</v>
      </c>
      <c r="K187" s="27" t="n">
        <v>1</v>
      </c>
      <c r="L187" s="30" t="n">
        <v>0.08</v>
      </c>
      <c r="M187" s="31">
        <f>I187*Resumo!$C$6</f>
        <v/>
      </c>
      <c r="N187" s="31">
        <f>IF(I187&gt;0,Resumo!$C$7,0)</f>
        <v/>
      </c>
      <c r="O187" s="31">
        <f>M187+N187</f>
        <v/>
      </c>
      <c r="P187" s="27" t="n">
        <v>0</v>
      </c>
      <c r="Q187" s="31" t="n">
        <v>0</v>
      </c>
      <c r="R187" s="31" t="n">
        <v>0</v>
      </c>
      <c r="S187" s="31">
        <f>Q187*Resumo!$C$8</f>
        <v/>
      </c>
      <c r="T187" s="31">
        <f>S187-R187-O187</f>
        <v/>
      </c>
      <c r="U187" s="32">
        <f>IF(O187&gt;0,Q187/O187,0)</f>
        <v/>
      </c>
      <c r="V187" s="30">
        <f>IF(O187&gt;0,T187/O187,0)</f>
        <v/>
      </c>
    </row>
    <row r="188">
      <c r="A188" s="27" t="n">
        <v>187</v>
      </c>
      <c r="B188" s="28" t="inlineStr">
        <is>
          <t>Camila Zambalde</t>
        </is>
      </c>
      <c r="C188" s="28" t="inlineStr">
        <is>
          <t>@camilazambalde</t>
        </is>
      </c>
      <c r="D188" s="29" t="inlineStr">
        <is>
          <t>Nada enviado</t>
        </is>
      </c>
      <c r="E188" s="27" t="inlineStr">
        <is>
          <t>—</t>
        </is>
      </c>
      <c r="F188" s="27" t="inlineStr">
        <is>
          <t>—</t>
        </is>
      </c>
      <c r="G188" s="27" t="inlineStr">
        <is>
          <t>—</t>
        </is>
      </c>
      <c r="H188" s="27" t="n">
        <v>1</v>
      </c>
      <c r="I188" s="27" t="n">
        <v>0</v>
      </c>
      <c r="J188" s="27" t="n">
        <v>1</v>
      </c>
      <c r="K188" s="27" t="n">
        <v>1</v>
      </c>
      <c r="L188" s="30" t="n">
        <v>0.08</v>
      </c>
      <c r="M188" s="31">
        <f>I188*Resumo!$C$6</f>
        <v/>
      </c>
      <c r="N188" s="31">
        <f>IF(I188&gt;0,Resumo!$C$7,0)</f>
        <v/>
      </c>
      <c r="O188" s="31">
        <f>M188+N188</f>
        <v/>
      </c>
      <c r="P188" s="27" t="n">
        <v>0</v>
      </c>
      <c r="Q188" s="31" t="n">
        <v>0</v>
      </c>
      <c r="R188" s="31" t="n">
        <v>0</v>
      </c>
      <c r="S188" s="31">
        <f>Q188*Resumo!$C$8</f>
        <v/>
      </c>
      <c r="T188" s="31">
        <f>S188-R188-O188</f>
        <v/>
      </c>
      <c r="U188" s="32">
        <f>IF(O188&gt;0,Q188/O188,0)</f>
        <v/>
      </c>
      <c r="V188" s="30">
        <f>IF(O188&gt;0,T188/O188,0)</f>
        <v/>
      </c>
    </row>
    <row r="189">
      <c r="A189" s="27" t="n">
        <v>188</v>
      </c>
      <c r="B189" s="28" t="inlineStr">
        <is>
          <t>Camilla</t>
        </is>
      </c>
      <c r="C189" s="28" t="inlineStr">
        <is>
          <t>@camillamgv</t>
        </is>
      </c>
      <c r="D189" s="29" t="inlineStr">
        <is>
          <t>Nada enviado</t>
        </is>
      </c>
      <c r="E189" s="27" t="inlineStr">
        <is>
          <t>—</t>
        </is>
      </c>
      <c r="F189" s="27" t="inlineStr">
        <is>
          <t>—</t>
        </is>
      </c>
      <c r="G189" s="27" t="inlineStr">
        <is>
          <t>—</t>
        </is>
      </c>
      <c r="H189" s="27" t="n">
        <v>1</v>
      </c>
      <c r="I189" s="27" t="n">
        <v>0</v>
      </c>
      <c r="J189" s="27" t="n">
        <v>1</v>
      </c>
      <c r="K189" s="27" t="n">
        <v>1</v>
      </c>
      <c r="L189" s="30" t="n">
        <v>0.08</v>
      </c>
      <c r="M189" s="31">
        <f>I189*Resumo!$C$6</f>
        <v/>
      </c>
      <c r="N189" s="31">
        <f>IF(I189&gt;0,Resumo!$C$7,0)</f>
        <v/>
      </c>
      <c r="O189" s="31">
        <f>M189+N189</f>
        <v/>
      </c>
      <c r="P189" s="27" t="n">
        <v>0</v>
      </c>
      <c r="Q189" s="31" t="n">
        <v>0</v>
      </c>
      <c r="R189" s="31" t="n">
        <v>0</v>
      </c>
      <c r="S189" s="31">
        <f>Q189*Resumo!$C$8</f>
        <v/>
      </c>
      <c r="T189" s="31">
        <f>S189-R189-O189</f>
        <v/>
      </c>
      <c r="U189" s="32">
        <f>IF(O189&gt;0,Q189/O189,0)</f>
        <v/>
      </c>
      <c r="V189" s="30">
        <f>IF(O189&gt;0,T189/O189,0)</f>
        <v/>
      </c>
    </row>
    <row r="190">
      <c r="A190" s="27" t="n">
        <v>189</v>
      </c>
      <c r="B190" s="28" t="inlineStr">
        <is>
          <t>camillatibes</t>
        </is>
      </c>
      <c r="C190" s="28" t="inlineStr">
        <is>
          <t>@camillatibes</t>
        </is>
      </c>
      <c r="D190" s="29" t="inlineStr">
        <is>
          <t>Nada enviado</t>
        </is>
      </c>
      <c r="E190" s="27" t="inlineStr">
        <is>
          <t>—</t>
        </is>
      </c>
      <c r="F190" s="27" t="inlineStr">
        <is>
          <t>—</t>
        </is>
      </c>
      <c r="G190" s="27" t="inlineStr">
        <is>
          <t>—</t>
        </is>
      </c>
      <c r="H190" s="27" t="n">
        <v>1</v>
      </c>
      <c r="I190" s="27" t="n">
        <v>0</v>
      </c>
      <c r="J190" s="27" t="n">
        <v>1</v>
      </c>
      <c r="K190" s="27" t="n">
        <v>1</v>
      </c>
      <c r="L190" s="30" t="n">
        <v>0.08</v>
      </c>
      <c r="M190" s="31">
        <f>I190*Resumo!$C$6</f>
        <v/>
      </c>
      <c r="N190" s="31">
        <f>IF(I190&gt;0,Resumo!$C$7,0)</f>
        <v/>
      </c>
      <c r="O190" s="31">
        <f>M190+N190</f>
        <v/>
      </c>
      <c r="P190" s="27" t="n">
        <v>0</v>
      </c>
      <c r="Q190" s="31" t="n">
        <v>0</v>
      </c>
      <c r="R190" s="31" t="n">
        <v>0</v>
      </c>
      <c r="S190" s="31">
        <f>Q190*Resumo!$C$8</f>
        <v/>
      </c>
      <c r="T190" s="31">
        <f>S190-R190-O190</f>
        <v/>
      </c>
      <c r="U190" s="32">
        <f>IF(O190&gt;0,Q190/O190,0)</f>
        <v/>
      </c>
      <c r="V190" s="30">
        <f>IF(O190&gt;0,T190/O190,0)</f>
        <v/>
      </c>
    </row>
    <row r="191">
      <c r="A191" s="27" t="n">
        <v>190</v>
      </c>
      <c r="B191" s="28" t="inlineStr">
        <is>
          <t>Carolina Nogueira</t>
        </is>
      </c>
      <c r="C191" s="28" t="inlineStr">
        <is>
          <t>@carolinanogueirabarcelos</t>
        </is>
      </c>
      <c r="D191" s="29" t="inlineStr">
        <is>
          <t>Nada enviado</t>
        </is>
      </c>
      <c r="E191" s="27" t="inlineStr">
        <is>
          <t>—</t>
        </is>
      </c>
      <c r="F191" s="27" t="inlineStr">
        <is>
          <t>—</t>
        </is>
      </c>
      <c r="G191" s="27" t="inlineStr">
        <is>
          <t>—</t>
        </is>
      </c>
      <c r="H191" s="27" t="n">
        <v>1</v>
      </c>
      <c r="I191" s="27" t="n">
        <v>0</v>
      </c>
      <c r="J191" s="27" t="n">
        <v>1</v>
      </c>
      <c r="K191" s="27" t="n">
        <v>1</v>
      </c>
      <c r="L191" s="30" t="n">
        <v>0.08</v>
      </c>
      <c r="M191" s="31">
        <f>I191*Resumo!$C$6</f>
        <v/>
      </c>
      <c r="N191" s="31">
        <f>IF(I191&gt;0,Resumo!$C$7,0)</f>
        <v/>
      </c>
      <c r="O191" s="31">
        <f>M191+N191</f>
        <v/>
      </c>
      <c r="P191" s="27" t="n">
        <v>0</v>
      </c>
      <c r="Q191" s="31" t="n">
        <v>0</v>
      </c>
      <c r="R191" s="31" t="n">
        <v>0</v>
      </c>
      <c r="S191" s="31">
        <f>Q191*Resumo!$C$8</f>
        <v/>
      </c>
      <c r="T191" s="31">
        <f>S191-R191-O191</f>
        <v/>
      </c>
      <c r="U191" s="32">
        <f>IF(O191&gt;0,Q191/O191,0)</f>
        <v/>
      </c>
      <c r="V191" s="30">
        <f>IF(O191&gt;0,T191/O191,0)</f>
        <v/>
      </c>
    </row>
    <row r="192">
      <c r="A192" s="27" t="n">
        <v>191</v>
      </c>
      <c r="B192" s="28" t="inlineStr">
        <is>
          <t>CASAL R.O INDICA</t>
        </is>
      </c>
      <c r="C192" s="28" t="inlineStr">
        <is>
          <t>@casal.ro.indica</t>
        </is>
      </c>
      <c r="D192" s="29" t="inlineStr">
        <is>
          <t>Nada enviado</t>
        </is>
      </c>
      <c r="E192" s="27" t="inlineStr">
        <is>
          <t>—</t>
        </is>
      </c>
      <c r="F192" s="27" t="inlineStr">
        <is>
          <t>—</t>
        </is>
      </c>
      <c r="G192" s="27" t="inlineStr">
        <is>
          <t>—</t>
        </is>
      </c>
      <c r="H192" s="27" t="n">
        <v>1</v>
      </c>
      <c r="I192" s="27" t="n">
        <v>0</v>
      </c>
      <c r="J192" s="27" t="n">
        <v>1</v>
      </c>
      <c r="K192" s="27" t="n">
        <v>1</v>
      </c>
      <c r="L192" s="30" t="n">
        <v>0.08</v>
      </c>
      <c r="M192" s="31">
        <f>I192*Resumo!$C$6</f>
        <v/>
      </c>
      <c r="N192" s="31">
        <f>IF(I192&gt;0,Resumo!$C$7,0)</f>
        <v/>
      </c>
      <c r="O192" s="31">
        <f>M192+N192</f>
        <v/>
      </c>
      <c r="P192" s="27" t="n">
        <v>0</v>
      </c>
      <c r="Q192" s="31" t="n">
        <v>0</v>
      </c>
      <c r="R192" s="31" t="n">
        <v>0</v>
      </c>
      <c r="S192" s="31">
        <f>Q192*Resumo!$C$8</f>
        <v/>
      </c>
      <c r="T192" s="31">
        <f>S192-R192-O192</f>
        <v/>
      </c>
      <c r="U192" s="32">
        <f>IF(O192&gt;0,Q192/O192,0)</f>
        <v/>
      </c>
      <c r="V192" s="30">
        <f>IF(O192&gt;0,T192/O192,0)</f>
        <v/>
      </c>
    </row>
    <row r="193">
      <c r="A193" s="27" t="n">
        <v>192</v>
      </c>
      <c r="B193" s="28" t="inlineStr">
        <is>
          <t>Cleydiane Alves | TikTok Shop</t>
        </is>
      </c>
      <c r="C193" s="28" t="inlineStr">
        <is>
          <t>@cleydianelima2</t>
        </is>
      </c>
      <c r="D193" s="29" t="inlineStr">
        <is>
          <t>Nada enviado</t>
        </is>
      </c>
      <c r="E193" s="27" t="inlineStr">
        <is>
          <t>—</t>
        </is>
      </c>
      <c r="F193" s="27" t="inlineStr">
        <is>
          <t>—</t>
        </is>
      </c>
      <c r="G193" s="27" t="inlineStr">
        <is>
          <t>—</t>
        </is>
      </c>
      <c r="H193" s="27" t="n">
        <v>2</v>
      </c>
      <c r="I193" s="27" t="n">
        <v>0</v>
      </c>
      <c r="J193" s="27" t="n">
        <v>2</v>
      </c>
      <c r="K193" s="27" t="n">
        <v>2</v>
      </c>
      <c r="L193" s="30" t="n">
        <v>0.08</v>
      </c>
      <c r="M193" s="31">
        <f>I193*Resumo!$C$6</f>
        <v/>
      </c>
      <c r="N193" s="31">
        <f>IF(I193&gt;0,Resumo!$C$7,0)</f>
        <v/>
      </c>
      <c r="O193" s="31">
        <f>M193+N193</f>
        <v/>
      </c>
      <c r="P193" s="27" t="n">
        <v>0</v>
      </c>
      <c r="Q193" s="31" t="n">
        <v>0</v>
      </c>
      <c r="R193" s="31" t="n">
        <v>0</v>
      </c>
      <c r="S193" s="31">
        <f>Q193*Resumo!$C$8</f>
        <v/>
      </c>
      <c r="T193" s="31">
        <f>S193-R193-O193</f>
        <v/>
      </c>
      <c r="U193" s="32">
        <f>IF(O193&gt;0,Q193/O193,0)</f>
        <v/>
      </c>
      <c r="V193" s="30">
        <f>IF(O193&gt;0,T193/O193,0)</f>
        <v/>
      </c>
    </row>
    <row r="194">
      <c r="A194" s="27" t="n">
        <v>193</v>
      </c>
      <c r="B194" s="28" t="inlineStr">
        <is>
          <t>Ka Matos</t>
        </is>
      </c>
      <c r="C194" s="28" t="inlineStr">
        <is>
          <t>@comprinhascomka</t>
        </is>
      </c>
      <c r="D194" s="29" t="inlineStr">
        <is>
          <t>Nada enviado</t>
        </is>
      </c>
      <c r="E194" s="27" t="inlineStr">
        <is>
          <t>—</t>
        </is>
      </c>
      <c r="F194" s="27" t="inlineStr">
        <is>
          <t>—</t>
        </is>
      </c>
      <c r="G194" s="27" t="inlineStr">
        <is>
          <t>—</t>
        </is>
      </c>
      <c r="H194" s="27" t="n">
        <v>1</v>
      </c>
      <c r="I194" s="27" t="n">
        <v>0</v>
      </c>
      <c r="J194" s="27" t="n">
        <v>1</v>
      </c>
      <c r="K194" s="27" t="n">
        <v>1</v>
      </c>
      <c r="L194" s="30" t="n">
        <v>0.08</v>
      </c>
      <c r="M194" s="31">
        <f>I194*Resumo!$C$6</f>
        <v/>
      </c>
      <c r="N194" s="31">
        <f>IF(I194&gt;0,Resumo!$C$7,0)</f>
        <v/>
      </c>
      <c r="O194" s="31">
        <f>M194+N194</f>
        <v/>
      </c>
      <c r="P194" s="27" t="n">
        <v>0</v>
      </c>
      <c r="Q194" s="31" t="n">
        <v>0</v>
      </c>
      <c r="R194" s="31" t="n">
        <v>0</v>
      </c>
      <c r="S194" s="31">
        <f>Q194*Resumo!$C$8</f>
        <v/>
      </c>
      <c r="T194" s="31">
        <f>S194-R194-O194</f>
        <v/>
      </c>
      <c r="U194" s="32">
        <f>IF(O194&gt;0,Q194/O194,0)</f>
        <v/>
      </c>
      <c r="V194" s="30">
        <f>IF(O194&gt;0,T194/O194,0)</f>
        <v/>
      </c>
    </row>
    <row r="195">
      <c r="A195" s="27" t="n">
        <v>194</v>
      </c>
      <c r="B195" s="28" t="inlineStr">
        <is>
          <t>Cristiane cesário</t>
        </is>
      </c>
      <c r="C195" s="28" t="inlineStr">
        <is>
          <t>@cristianecesarioo</t>
        </is>
      </c>
      <c r="D195" s="29" t="inlineStr">
        <is>
          <t>Nada enviado</t>
        </is>
      </c>
      <c r="E195" s="27" t="inlineStr">
        <is>
          <t>—</t>
        </is>
      </c>
      <c r="F195" s="27" t="inlineStr">
        <is>
          <t>—</t>
        </is>
      </c>
      <c r="G195" s="27" t="inlineStr">
        <is>
          <t>—</t>
        </is>
      </c>
      <c r="H195" s="27" t="n">
        <v>1</v>
      </c>
      <c r="I195" s="27" t="n">
        <v>0</v>
      </c>
      <c r="J195" s="27" t="n">
        <v>1</v>
      </c>
      <c r="K195" s="27" t="n">
        <v>1</v>
      </c>
      <c r="L195" s="30" t="n">
        <v>0.08</v>
      </c>
      <c r="M195" s="31">
        <f>I195*Resumo!$C$6</f>
        <v/>
      </c>
      <c r="N195" s="31">
        <f>IF(I195&gt;0,Resumo!$C$7,0)</f>
        <v/>
      </c>
      <c r="O195" s="31">
        <f>M195+N195</f>
        <v/>
      </c>
      <c r="P195" s="27" t="n">
        <v>0</v>
      </c>
      <c r="Q195" s="31" t="n">
        <v>0</v>
      </c>
      <c r="R195" s="31" t="n">
        <v>0</v>
      </c>
      <c r="S195" s="31">
        <f>Q195*Resumo!$C$8</f>
        <v/>
      </c>
      <c r="T195" s="31">
        <f>S195-R195-O195</f>
        <v/>
      </c>
      <c r="U195" s="32">
        <f>IF(O195&gt;0,Q195/O195,0)</f>
        <v/>
      </c>
      <c r="V195" s="30">
        <f>IF(O195&gt;0,T195/O195,0)</f>
        <v/>
      </c>
    </row>
    <row r="196">
      <c r="A196" s="27" t="n">
        <v>195</v>
      </c>
      <c r="B196" s="28" t="inlineStr">
        <is>
          <t>Julia ✨</t>
        </is>
      </c>
      <c r="C196" s="28" t="inlineStr">
        <is>
          <t>@dailyjuuuf</t>
        </is>
      </c>
      <c r="D196" s="29" t="inlineStr">
        <is>
          <t>Nada enviado</t>
        </is>
      </c>
      <c r="E196" s="27" t="inlineStr">
        <is>
          <t>—</t>
        </is>
      </c>
      <c r="F196" s="27" t="inlineStr">
        <is>
          <t>—</t>
        </is>
      </c>
      <c r="G196" s="27" t="inlineStr">
        <is>
          <t>—</t>
        </is>
      </c>
      <c r="H196" s="27" t="n">
        <v>1</v>
      </c>
      <c r="I196" s="27" t="n">
        <v>0</v>
      </c>
      <c r="J196" s="27" t="n">
        <v>1</v>
      </c>
      <c r="K196" s="27" t="n">
        <v>1</v>
      </c>
      <c r="L196" s="30" t="n">
        <v>0.08</v>
      </c>
      <c r="M196" s="31">
        <f>I196*Resumo!$C$6</f>
        <v/>
      </c>
      <c r="N196" s="31">
        <f>IF(I196&gt;0,Resumo!$C$7,0)</f>
        <v/>
      </c>
      <c r="O196" s="31">
        <f>M196+N196</f>
        <v/>
      </c>
      <c r="P196" s="27" t="n">
        <v>0</v>
      </c>
      <c r="Q196" s="31" t="n">
        <v>0</v>
      </c>
      <c r="R196" s="31" t="n">
        <v>0</v>
      </c>
      <c r="S196" s="31">
        <f>Q196*Resumo!$C$8</f>
        <v/>
      </c>
      <c r="T196" s="31">
        <f>S196-R196-O196</f>
        <v/>
      </c>
      <c r="U196" s="32">
        <f>IF(O196&gt;0,Q196/O196,0)</f>
        <v/>
      </c>
      <c r="V196" s="30">
        <f>IF(O196&gt;0,T196/O196,0)</f>
        <v/>
      </c>
    </row>
    <row r="197">
      <c r="A197" s="27" t="n">
        <v>196</v>
      </c>
      <c r="B197" s="28" t="inlineStr">
        <is>
          <t>Luana Tavares</t>
        </is>
      </c>
      <c r="C197" s="28" t="inlineStr">
        <is>
          <t>@dailyluanatavares</t>
        </is>
      </c>
      <c r="D197" s="29" t="inlineStr">
        <is>
          <t>Nada enviado</t>
        </is>
      </c>
      <c r="E197" s="27" t="inlineStr">
        <is>
          <t>—</t>
        </is>
      </c>
      <c r="F197" s="27" t="inlineStr">
        <is>
          <t>—</t>
        </is>
      </c>
      <c r="G197" s="27" t="inlineStr">
        <is>
          <t>—</t>
        </is>
      </c>
      <c r="H197" s="27" t="n">
        <v>1</v>
      </c>
      <c r="I197" s="27" t="n">
        <v>0</v>
      </c>
      <c r="J197" s="27" t="n">
        <v>1</v>
      </c>
      <c r="K197" s="27" t="n">
        <v>1</v>
      </c>
      <c r="L197" s="30" t="n">
        <v>0.08</v>
      </c>
      <c r="M197" s="31">
        <f>I197*Resumo!$C$6</f>
        <v/>
      </c>
      <c r="N197" s="31">
        <f>IF(I197&gt;0,Resumo!$C$7,0)</f>
        <v/>
      </c>
      <c r="O197" s="31">
        <f>M197+N197</f>
        <v/>
      </c>
      <c r="P197" s="27" t="n">
        <v>0</v>
      </c>
      <c r="Q197" s="31" t="n">
        <v>0</v>
      </c>
      <c r="R197" s="31" t="n">
        <v>0</v>
      </c>
      <c r="S197" s="31">
        <f>Q197*Resumo!$C$8</f>
        <v/>
      </c>
      <c r="T197" s="31">
        <f>S197-R197-O197</f>
        <v/>
      </c>
      <c r="U197" s="32">
        <f>IF(O197&gt;0,Q197/O197,0)</f>
        <v/>
      </c>
      <c r="V197" s="30">
        <f>IF(O197&gt;0,T197/O197,0)</f>
        <v/>
      </c>
    </row>
    <row r="198">
      <c r="A198" s="27" t="n">
        <v>197</v>
      </c>
      <c r="B198" s="28" t="inlineStr">
        <is>
          <t>daniguerardt</t>
        </is>
      </c>
      <c r="C198" s="28" t="inlineStr">
        <is>
          <t>@danielaguerardt67</t>
        </is>
      </c>
      <c r="D198" s="29" t="inlineStr">
        <is>
          <t>Nada enviado</t>
        </is>
      </c>
      <c r="E198" s="27" t="inlineStr">
        <is>
          <t>—</t>
        </is>
      </c>
      <c r="F198" s="27" t="inlineStr">
        <is>
          <t>—</t>
        </is>
      </c>
      <c r="G198" s="27" t="inlineStr">
        <is>
          <t>—</t>
        </is>
      </c>
      <c r="H198" s="27" t="n">
        <v>1</v>
      </c>
      <c r="I198" s="27" t="n">
        <v>0</v>
      </c>
      <c r="J198" s="27" t="n">
        <v>1</v>
      </c>
      <c r="K198" s="27" t="n">
        <v>1</v>
      </c>
      <c r="L198" s="30" t="n">
        <v>0.08</v>
      </c>
      <c r="M198" s="31">
        <f>I198*Resumo!$C$6</f>
        <v/>
      </c>
      <c r="N198" s="31">
        <f>IF(I198&gt;0,Resumo!$C$7,0)</f>
        <v/>
      </c>
      <c r="O198" s="31">
        <f>M198+N198</f>
        <v/>
      </c>
      <c r="P198" s="27" t="n">
        <v>0</v>
      </c>
      <c r="Q198" s="31" t="n">
        <v>0</v>
      </c>
      <c r="R198" s="31" t="n">
        <v>0</v>
      </c>
      <c r="S198" s="31">
        <f>Q198*Resumo!$C$8</f>
        <v/>
      </c>
      <c r="T198" s="31">
        <f>S198-R198-O198</f>
        <v/>
      </c>
      <c r="U198" s="32">
        <f>IF(O198&gt;0,Q198/O198,0)</f>
        <v/>
      </c>
      <c r="V198" s="30">
        <f>IF(O198&gt;0,T198/O198,0)</f>
        <v/>
      </c>
    </row>
    <row r="199">
      <c r="A199" s="27" t="n">
        <v>198</v>
      </c>
      <c r="B199" s="28" t="inlineStr">
        <is>
          <t>Daniela valentim 💞</t>
        </is>
      </c>
      <c r="C199" s="28" t="inlineStr">
        <is>
          <t>@danielavalentiim</t>
        </is>
      </c>
      <c r="D199" s="29" t="inlineStr">
        <is>
          <t>Nada enviado</t>
        </is>
      </c>
      <c r="E199" s="27" t="inlineStr">
        <is>
          <t>—</t>
        </is>
      </c>
      <c r="F199" s="27" t="inlineStr">
        <is>
          <t>—</t>
        </is>
      </c>
      <c r="G199" s="27" t="inlineStr">
        <is>
          <t>—</t>
        </is>
      </c>
      <c r="H199" s="27" t="n">
        <v>1</v>
      </c>
      <c r="I199" s="27" t="n">
        <v>0</v>
      </c>
      <c r="J199" s="27" t="n">
        <v>1</v>
      </c>
      <c r="K199" s="27" t="n">
        <v>1</v>
      </c>
      <c r="L199" s="30" t="n">
        <v>0.08</v>
      </c>
      <c r="M199" s="31">
        <f>I199*Resumo!$C$6</f>
        <v/>
      </c>
      <c r="N199" s="31">
        <f>IF(I199&gt;0,Resumo!$C$7,0)</f>
        <v/>
      </c>
      <c r="O199" s="31">
        <f>M199+N199</f>
        <v/>
      </c>
      <c r="P199" s="27" t="n">
        <v>0</v>
      </c>
      <c r="Q199" s="31" t="n">
        <v>0</v>
      </c>
      <c r="R199" s="31" t="n">
        <v>0</v>
      </c>
      <c r="S199" s="31">
        <f>Q199*Resumo!$C$8</f>
        <v/>
      </c>
      <c r="T199" s="31">
        <f>S199-R199-O199</f>
        <v/>
      </c>
      <c r="U199" s="32">
        <f>IF(O199&gt;0,Q199/O199,0)</f>
        <v/>
      </c>
      <c r="V199" s="30">
        <f>IF(O199&gt;0,T199/O199,0)</f>
        <v/>
      </c>
    </row>
    <row r="200">
      <c r="A200" s="27" t="n">
        <v>199</v>
      </c>
      <c r="B200" s="28" t="inlineStr">
        <is>
          <t>Day Felix</t>
        </is>
      </c>
      <c r="C200" s="28" t="inlineStr">
        <is>
          <t>@dayfelyx4</t>
        </is>
      </c>
      <c r="D200" s="29" t="inlineStr">
        <is>
          <t>Nada enviado</t>
        </is>
      </c>
      <c r="E200" s="27" t="inlineStr">
        <is>
          <t>—</t>
        </is>
      </c>
      <c r="F200" s="27" t="inlineStr">
        <is>
          <t>—</t>
        </is>
      </c>
      <c r="G200" s="27" t="inlineStr">
        <is>
          <t>—</t>
        </is>
      </c>
      <c r="H200" s="27" t="n">
        <v>1</v>
      </c>
      <c r="I200" s="27" t="n">
        <v>0</v>
      </c>
      <c r="J200" s="27" t="n">
        <v>1</v>
      </c>
      <c r="K200" s="27" t="n">
        <v>1</v>
      </c>
      <c r="L200" s="30" t="n">
        <v>0.08</v>
      </c>
      <c r="M200" s="31">
        <f>I200*Resumo!$C$6</f>
        <v/>
      </c>
      <c r="N200" s="31">
        <f>IF(I200&gt;0,Resumo!$C$7,0)</f>
        <v/>
      </c>
      <c r="O200" s="31">
        <f>M200+N200</f>
        <v/>
      </c>
      <c r="P200" s="27" t="n">
        <v>0</v>
      </c>
      <c r="Q200" s="31" t="n">
        <v>0</v>
      </c>
      <c r="R200" s="31" t="n">
        <v>0</v>
      </c>
      <c r="S200" s="31">
        <f>Q200*Resumo!$C$8</f>
        <v/>
      </c>
      <c r="T200" s="31">
        <f>S200-R200-O200</f>
        <v/>
      </c>
      <c r="U200" s="32">
        <f>IF(O200&gt;0,Q200/O200,0)</f>
        <v/>
      </c>
      <c r="V200" s="30">
        <f>IF(O200&gt;0,T200/O200,0)</f>
        <v/>
      </c>
    </row>
    <row r="201">
      <c r="A201" s="27" t="n">
        <v>200</v>
      </c>
      <c r="B201" s="28" t="inlineStr">
        <is>
          <t>🧸</t>
        </is>
      </c>
      <c r="C201" s="28" t="inlineStr">
        <is>
          <t>@delizfw</t>
        </is>
      </c>
      <c r="D201" s="29" t="inlineStr">
        <is>
          <t>Nada enviado</t>
        </is>
      </c>
      <c r="E201" s="27" t="inlineStr">
        <is>
          <t>—</t>
        </is>
      </c>
      <c r="F201" s="27" t="inlineStr">
        <is>
          <t>—</t>
        </is>
      </c>
      <c r="G201" s="27" t="inlineStr">
        <is>
          <t>—</t>
        </is>
      </c>
      <c r="H201" s="27" t="n">
        <v>1</v>
      </c>
      <c r="I201" s="27" t="n">
        <v>0</v>
      </c>
      <c r="J201" s="27" t="n">
        <v>1</v>
      </c>
      <c r="K201" s="27" t="n">
        <v>1</v>
      </c>
      <c r="L201" s="30" t="n">
        <v>0.08</v>
      </c>
      <c r="M201" s="31">
        <f>I201*Resumo!$C$6</f>
        <v/>
      </c>
      <c r="N201" s="31">
        <f>IF(I201&gt;0,Resumo!$C$7,0)</f>
        <v/>
      </c>
      <c r="O201" s="31">
        <f>M201+N201</f>
        <v/>
      </c>
      <c r="P201" s="27" t="n">
        <v>0</v>
      </c>
      <c r="Q201" s="31" t="n">
        <v>0</v>
      </c>
      <c r="R201" s="31" t="n">
        <v>0</v>
      </c>
      <c r="S201" s="31">
        <f>Q201*Resumo!$C$8</f>
        <v/>
      </c>
      <c r="T201" s="31">
        <f>S201-R201-O201</f>
        <v/>
      </c>
      <c r="U201" s="32">
        <f>IF(O201&gt;0,Q201/O201,0)</f>
        <v/>
      </c>
      <c r="V201" s="30">
        <f>IF(O201&gt;0,T201/O201,0)</f>
        <v/>
      </c>
    </row>
    <row r="202">
      <c r="A202" s="27" t="n">
        <v>201</v>
      </c>
      <c r="B202" s="28" t="inlineStr">
        <is>
          <t>De Paula - Creator</t>
        </is>
      </c>
      <c r="C202" s="28" t="inlineStr">
        <is>
          <t>@depaulacreator</t>
        </is>
      </c>
      <c r="D202" s="29" t="inlineStr">
        <is>
          <t>Nada enviado</t>
        </is>
      </c>
      <c r="E202" s="27" t="inlineStr">
        <is>
          <t>—</t>
        </is>
      </c>
      <c r="F202" s="27" t="inlineStr">
        <is>
          <t>—</t>
        </is>
      </c>
      <c r="G202" s="27" t="inlineStr">
        <is>
          <t>—</t>
        </is>
      </c>
      <c r="H202" s="27" t="n">
        <v>1</v>
      </c>
      <c r="I202" s="27" t="n">
        <v>0</v>
      </c>
      <c r="J202" s="27" t="n">
        <v>1</v>
      </c>
      <c r="K202" s="27" t="n">
        <v>1</v>
      </c>
      <c r="L202" s="30" t="n">
        <v>0.08</v>
      </c>
      <c r="M202" s="31">
        <f>I202*Resumo!$C$6</f>
        <v/>
      </c>
      <c r="N202" s="31">
        <f>IF(I202&gt;0,Resumo!$C$7,0)</f>
        <v/>
      </c>
      <c r="O202" s="31">
        <f>M202+N202</f>
        <v/>
      </c>
      <c r="P202" s="27" t="n">
        <v>0</v>
      </c>
      <c r="Q202" s="31" t="n">
        <v>0</v>
      </c>
      <c r="R202" s="31" t="n">
        <v>0</v>
      </c>
      <c r="S202" s="31">
        <f>Q202*Resumo!$C$8</f>
        <v/>
      </c>
      <c r="T202" s="31">
        <f>S202-R202-O202</f>
        <v/>
      </c>
      <c r="U202" s="32">
        <f>IF(O202&gt;0,Q202/O202,0)</f>
        <v/>
      </c>
      <c r="V202" s="30">
        <f>IF(O202&gt;0,T202/O202,0)</f>
        <v/>
      </c>
    </row>
    <row r="203">
      <c r="A203" s="27" t="n">
        <v>202</v>
      </c>
      <c r="B203" s="28" t="inlineStr">
        <is>
          <t>dicasdala.br</t>
        </is>
      </c>
      <c r="C203" s="28" t="inlineStr">
        <is>
          <t>@dicasdala.br</t>
        </is>
      </c>
      <c r="D203" s="29" t="inlineStr">
        <is>
          <t>Nada enviado</t>
        </is>
      </c>
      <c r="E203" s="27" t="inlineStr">
        <is>
          <t>—</t>
        </is>
      </c>
      <c r="F203" s="27" t="inlineStr">
        <is>
          <t>—</t>
        </is>
      </c>
      <c r="G203" s="27" t="inlineStr">
        <is>
          <t>—</t>
        </is>
      </c>
      <c r="H203" s="27" t="n">
        <v>1</v>
      </c>
      <c r="I203" s="27" t="n">
        <v>0</v>
      </c>
      <c r="J203" s="27" t="n">
        <v>1</v>
      </c>
      <c r="K203" s="27" t="n">
        <v>1</v>
      </c>
      <c r="L203" s="30" t="n">
        <v>0.08</v>
      </c>
      <c r="M203" s="31">
        <f>I203*Resumo!$C$6</f>
        <v/>
      </c>
      <c r="N203" s="31">
        <f>IF(I203&gt;0,Resumo!$C$7,0)</f>
        <v/>
      </c>
      <c r="O203" s="31">
        <f>M203+N203</f>
        <v/>
      </c>
      <c r="P203" s="27" t="n">
        <v>0</v>
      </c>
      <c r="Q203" s="31" t="n">
        <v>0</v>
      </c>
      <c r="R203" s="31" t="n">
        <v>0</v>
      </c>
      <c r="S203" s="31">
        <f>Q203*Resumo!$C$8</f>
        <v/>
      </c>
      <c r="T203" s="31">
        <f>S203-R203-O203</f>
        <v/>
      </c>
      <c r="U203" s="32">
        <f>IF(O203&gt;0,Q203/O203,0)</f>
        <v/>
      </c>
      <c r="V203" s="30">
        <f>IF(O203&gt;0,T203/O203,0)</f>
        <v/>
      </c>
    </row>
    <row r="204">
      <c r="A204" s="27" t="n">
        <v>203</v>
      </c>
      <c r="B204" s="28" t="inlineStr">
        <is>
          <t>dailydayas</t>
        </is>
      </c>
      <c r="C204" s="28" t="inlineStr">
        <is>
          <t>@dicasdayas.0</t>
        </is>
      </c>
      <c r="D204" s="29" t="inlineStr">
        <is>
          <t>Nada enviado</t>
        </is>
      </c>
      <c r="E204" s="27" t="inlineStr">
        <is>
          <t>—</t>
        </is>
      </c>
      <c r="F204" s="27" t="inlineStr">
        <is>
          <t>—</t>
        </is>
      </c>
      <c r="G204" s="27" t="inlineStr">
        <is>
          <t>—</t>
        </is>
      </c>
      <c r="H204" s="27" t="n">
        <v>1</v>
      </c>
      <c r="I204" s="27" t="n">
        <v>0</v>
      </c>
      <c r="J204" s="27" t="n">
        <v>1</v>
      </c>
      <c r="K204" s="27" t="n">
        <v>1</v>
      </c>
      <c r="L204" s="30" t="n">
        <v>0.08</v>
      </c>
      <c r="M204" s="31">
        <f>I204*Resumo!$C$6</f>
        <v/>
      </c>
      <c r="N204" s="31">
        <f>IF(I204&gt;0,Resumo!$C$7,0)</f>
        <v/>
      </c>
      <c r="O204" s="31">
        <f>M204+N204</f>
        <v/>
      </c>
      <c r="P204" s="27" t="n">
        <v>0</v>
      </c>
      <c r="Q204" s="31" t="n">
        <v>0</v>
      </c>
      <c r="R204" s="31" t="n">
        <v>0</v>
      </c>
      <c r="S204" s="31">
        <f>Q204*Resumo!$C$8</f>
        <v/>
      </c>
      <c r="T204" s="31">
        <f>S204-R204-O204</f>
        <v/>
      </c>
      <c r="U204" s="32">
        <f>IF(O204&gt;0,Q204/O204,0)</f>
        <v/>
      </c>
      <c r="V204" s="30">
        <f>IF(O204&gt;0,T204/O204,0)</f>
        <v/>
      </c>
    </row>
    <row r="205">
      <c r="A205" s="27" t="n">
        <v>204</v>
      </c>
      <c r="B205" s="28" t="inlineStr">
        <is>
          <t>Cleberson &amp; Andressa</t>
        </is>
      </c>
      <c r="C205" s="28" t="inlineStr">
        <is>
          <t>@dicasdocasal.01</t>
        </is>
      </c>
      <c r="D205" s="29" t="inlineStr">
        <is>
          <t>Nada enviado</t>
        </is>
      </c>
      <c r="E205" s="27" t="inlineStr">
        <is>
          <t>—</t>
        </is>
      </c>
      <c r="F205" s="27" t="inlineStr">
        <is>
          <t>—</t>
        </is>
      </c>
      <c r="G205" s="27" t="inlineStr">
        <is>
          <t>—</t>
        </is>
      </c>
      <c r="H205" s="27" t="n">
        <v>1</v>
      </c>
      <c r="I205" s="27" t="n">
        <v>0</v>
      </c>
      <c r="J205" s="27" t="n">
        <v>1</v>
      </c>
      <c r="K205" s="27" t="n">
        <v>1</v>
      </c>
      <c r="L205" s="30" t="n">
        <v>0.08</v>
      </c>
      <c r="M205" s="31">
        <f>I205*Resumo!$C$6</f>
        <v/>
      </c>
      <c r="N205" s="31">
        <f>IF(I205&gt;0,Resumo!$C$7,0)</f>
        <v/>
      </c>
      <c r="O205" s="31">
        <f>M205+N205</f>
        <v/>
      </c>
      <c r="P205" s="27" t="n">
        <v>0</v>
      </c>
      <c r="Q205" s="31" t="n">
        <v>0</v>
      </c>
      <c r="R205" s="31" t="n">
        <v>0</v>
      </c>
      <c r="S205" s="31">
        <f>Q205*Resumo!$C$8</f>
        <v/>
      </c>
      <c r="T205" s="31">
        <f>S205-R205-O205</f>
        <v/>
      </c>
      <c r="U205" s="32">
        <f>IF(O205&gt;0,Q205/O205,0)</f>
        <v/>
      </c>
      <c r="V205" s="30">
        <f>IF(O205&gt;0,T205/O205,0)</f>
        <v/>
      </c>
    </row>
    <row r="206">
      <c r="A206" s="27" t="n">
        <v>205</v>
      </c>
      <c r="B206" s="28" t="inlineStr">
        <is>
          <t>Dieni Flores</t>
        </is>
      </c>
      <c r="C206" s="28" t="inlineStr">
        <is>
          <t>@dienifloresm</t>
        </is>
      </c>
      <c r="D206" s="29" t="inlineStr">
        <is>
          <t>Nada enviado</t>
        </is>
      </c>
      <c r="E206" s="27" t="inlineStr">
        <is>
          <t>—</t>
        </is>
      </c>
      <c r="F206" s="27" t="inlineStr">
        <is>
          <t>—</t>
        </is>
      </c>
      <c r="G206" s="27" t="inlineStr">
        <is>
          <t>—</t>
        </is>
      </c>
      <c r="H206" s="27" t="n">
        <v>1</v>
      </c>
      <c r="I206" s="27" t="n">
        <v>0</v>
      </c>
      <c r="J206" s="27" t="n">
        <v>1</v>
      </c>
      <c r="K206" s="27" t="n">
        <v>1</v>
      </c>
      <c r="L206" s="30" t="n">
        <v>0.08</v>
      </c>
      <c r="M206" s="31">
        <f>I206*Resumo!$C$6</f>
        <v/>
      </c>
      <c r="N206" s="31">
        <f>IF(I206&gt;0,Resumo!$C$7,0)</f>
        <v/>
      </c>
      <c r="O206" s="31">
        <f>M206+N206</f>
        <v/>
      </c>
      <c r="P206" s="27" t="n">
        <v>0</v>
      </c>
      <c r="Q206" s="31" t="n">
        <v>0</v>
      </c>
      <c r="R206" s="31" t="n">
        <v>0</v>
      </c>
      <c r="S206" s="31">
        <f>Q206*Resumo!$C$8</f>
        <v/>
      </c>
      <c r="T206" s="31">
        <f>S206-R206-O206</f>
        <v/>
      </c>
      <c r="U206" s="32">
        <f>IF(O206&gt;0,Q206/O206,0)</f>
        <v/>
      </c>
      <c r="V206" s="30">
        <f>IF(O206&gt;0,T206/O206,0)</f>
        <v/>
      </c>
    </row>
    <row r="207">
      <c r="A207" s="27" t="n">
        <v>206</v>
      </c>
      <c r="B207" s="28" t="inlineStr">
        <is>
          <t>Lyz Lemmos</t>
        </is>
      </c>
      <c r="C207" s="28" t="inlineStr">
        <is>
          <t>@essencialmente.perfumada</t>
        </is>
      </c>
      <c r="D207" s="29" t="inlineStr">
        <is>
          <t>Nada enviado</t>
        </is>
      </c>
      <c r="E207" s="27" t="inlineStr">
        <is>
          <t>—</t>
        </is>
      </c>
      <c r="F207" s="27" t="inlineStr">
        <is>
          <t>—</t>
        </is>
      </c>
      <c r="G207" s="27" t="inlineStr">
        <is>
          <t>—</t>
        </is>
      </c>
      <c r="H207" s="27" t="n">
        <v>1</v>
      </c>
      <c r="I207" s="27" t="n">
        <v>0</v>
      </c>
      <c r="J207" s="27" t="n">
        <v>1</v>
      </c>
      <c r="K207" s="27" t="n">
        <v>1</v>
      </c>
      <c r="L207" s="30" t="n">
        <v>0.08</v>
      </c>
      <c r="M207" s="31">
        <f>I207*Resumo!$C$6</f>
        <v/>
      </c>
      <c r="N207" s="31">
        <f>IF(I207&gt;0,Resumo!$C$7,0)</f>
        <v/>
      </c>
      <c r="O207" s="31">
        <f>M207+N207</f>
        <v/>
      </c>
      <c r="P207" s="27" t="n">
        <v>0</v>
      </c>
      <c r="Q207" s="31" t="n">
        <v>0</v>
      </c>
      <c r="R207" s="31" t="n">
        <v>0</v>
      </c>
      <c r="S207" s="31">
        <f>Q207*Resumo!$C$8</f>
        <v/>
      </c>
      <c r="T207" s="31">
        <f>S207-R207-O207</f>
        <v/>
      </c>
      <c r="U207" s="32">
        <f>IF(O207&gt;0,Q207/O207,0)</f>
        <v/>
      </c>
      <c r="V207" s="30">
        <f>IF(O207&gt;0,T207/O207,0)</f>
        <v/>
      </c>
    </row>
    <row r="208">
      <c r="A208" s="27" t="n">
        <v>207</v>
      </c>
      <c r="B208" s="28" t="inlineStr">
        <is>
          <t>Vivi Borges</t>
        </is>
      </c>
      <c r="C208" s="28" t="inlineStr">
        <is>
          <t>@euvivianeborges</t>
        </is>
      </c>
      <c r="D208" s="29" t="inlineStr">
        <is>
          <t>Nada enviado</t>
        </is>
      </c>
      <c r="E208" s="27" t="inlineStr">
        <is>
          <t>—</t>
        </is>
      </c>
      <c r="F208" s="27" t="inlineStr">
        <is>
          <t>—</t>
        </is>
      </c>
      <c r="G208" s="27" t="inlineStr">
        <is>
          <t>—</t>
        </is>
      </c>
      <c r="H208" s="27" t="n">
        <v>1</v>
      </c>
      <c r="I208" s="27" t="n">
        <v>0</v>
      </c>
      <c r="J208" s="27" t="n">
        <v>1</v>
      </c>
      <c r="K208" s="27" t="n">
        <v>1</v>
      </c>
      <c r="L208" s="30" t="n">
        <v>0.08</v>
      </c>
      <c r="M208" s="31">
        <f>I208*Resumo!$C$6</f>
        <v/>
      </c>
      <c r="N208" s="31">
        <f>IF(I208&gt;0,Resumo!$C$7,0)</f>
        <v/>
      </c>
      <c r="O208" s="31">
        <f>M208+N208</f>
        <v/>
      </c>
      <c r="P208" s="27" t="n">
        <v>0</v>
      </c>
      <c r="Q208" s="31" t="n">
        <v>0</v>
      </c>
      <c r="R208" s="31" t="n">
        <v>0</v>
      </c>
      <c r="S208" s="31">
        <f>Q208*Resumo!$C$8</f>
        <v/>
      </c>
      <c r="T208" s="31">
        <f>S208-R208-O208</f>
        <v/>
      </c>
      <c r="U208" s="32">
        <f>IF(O208&gt;0,Q208/O208,0)</f>
        <v/>
      </c>
      <c r="V208" s="30">
        <f>IF(O208&gt;0,T208/O208,0)</f>
        <v/>
      </c>
    </row>
    <row r="209">
      <c r="A209" s="27" t="n">
        <v>208</v>
      </c>
      <c r="B209" s="28" t="inlineStr">
        <is>
          <t>Fabi Castilho</t>
        </is>
      </c>
      <c r="C209" s="28" t="inlineStr">
        <is>
          <t>@fabi.olivcastilho</t>
        </is>
      </c>
      <c r="D209" s="29" t="inlineStr">
        <is>
          <t>Nada enviado</t>
        </is>
      </c>
      <c r="E209" s="27" t="inlineStr">
        <is>
          <t>—</t>
        </is>
      </c>
      <c r="F209" s="27" t="inlineStr">
        <is>
          <t>—</t>
        </is>
      </c>
      <c r="G209" s="27" t="inlineStr">
        <is>
          <t>—</t>
        </is>
      </c>
      <c r="H209" s="27" t="n">
        <v>1</v>
      </c>
      <c r="I209" s="27" t="n">
        <v>0</v>
      </c>
      <c r="J209" s="27" t="n">
        <v>1</v>
      </c>
      <c r="K209" s="27" t="n">
        <v>1</v>
      </c>
      <c r="L209" s="30" t="n">
        <v>0.08</v>
      </c>
      <c r="M209" s="31">
        <f>I209*Resumo!$C$6</f>
        <v/>
      </c>
      <c r="N209" s="31">
        <f>IF(I209&gt;0,Resumo!$C$7,0)</f>
        <v/>
      </c>
      <c r="O209" s="31">
        <f>M209+N209</f>
        <v/>
      </c>
      <c r="P209" s="27" t="n">
        <v>0</v>
      </c>
      <c r="Q209" s="31" t="n">
        <v>0</v>
      </c>
      <c r="R209" s="31" t="n">
        <v>0</v>
      </c>
      <c r="S209" s="31">
        <f>Q209*Resumo!$C$8</f>
        <v/>
      </c>
      <c r="T209" s="31">
        <f>S209-R209-O209</f>
        <v/>
      </c>
      <c r="U209" s="32">
        <f>IF(O209&gt;0,Q209/O209,0)</f>
        <v/>
      </c>
      <c r="V209" s="30">
        <f>IF(O209&gt;0,T209/O209,0)</f>
        <v/>
      </c>
    </row>
    <row r="210">
      <c r="A210" s="27" t="n">
        <v>209</v>
      </c>
      <c r="B210" s="28" t="inlineStr">
        <is>
          <t>Nanda</t>
        </is>
      </c>
      <c r="C210" s="28" t="inlineStr">
        <is>
          <t>@ffontanah</t>
        </is>
      </c>
      <c r="D210" s="29" t="inlineStr">
        <is>
          <t>Nada enviado</t>
        </is>
      </c>
      <c r="E210" s="27" t="inlineStr">
        <is>
          <t>—</t>
        </is>
      </c>
      <c r="F210" s="27" t="inlineStr">
        <is>
          <t>—</t>
        </is>
      </c>
      <c r="G210" s="27" t="inlineStr">
        <is>
          <t>—</t>
        </is>
      </c>
      <c r="H210" s="27" t="n">
        <v>1</v>
      </c>
      <c r="I210" s="27" t="n">
        <v>0</v>
      </c>
      <c r="J210" s="27" t="n">
        <v>1</v>
      </c>
      <c r="K210" s="27" t="n">
        <v>1</v>
      </c>
      <c r="L210" s="30" t="n">
        <v>0.08</v>
      </c>
      <c r="M210" s="31">
        <f>I210*Resumo!$C$6</f>
        <v/>
      </c>
      <c r="N210" s="31">
        <f>IF(I210&gt;0,Resumo!$C$7,0)</f>
        <v/>
      </c>
      <c r="O210" s="31">
        <f>M210+N210</f>
        <v/>
      </c>
      <c r="P210" s="27" t="n">
        <v>0</v>
      </c>
      <c r="Q210" s="31" t="n">
        <v>0</v>
      </c>
      <c r="R210" s="31" t="n">
        <v>0</v>
      </c>
      <c r="S210" s="31">
        <f>Q210*Resumo!$C$8</f>
        <v/>
      </c>
      <c r="T210" s="31">
        <f>S210-R210-O210</f>
        <v/>
      </c>
      <c r="U210" s="32">
        <f>IF(O210&gt;0,Q210/O210,0)</f>
        <v/>
      </c>
      <c r="V210" s="30">
        <f>IF(O210&gt;0,T210/O210,0)</f>
        <v/>
      </c>
    </row>
    <row r="211">
      <c r="A211" s="27" t="n">
        <v>210</v>
      </c>
      <c r="B211" s="28" t="inlineStr">
        <is>
          <t>Fran Araujo</t>
        </is>
      </c>
      <c r="C211" s="28" t="inlineStr">
        <is>
          <t>@franlira.me</t>
        </is>
      </c>
      <c r="D211" s="29" t="inlineStr">
        <is>
          <t>Nada enviado</t>
        </is>
      </c>
      <c r="E211" s="27" t="inlineStr">
        <is>
          <t>—</t>
        </is>
      </c>
      <c r="F211" s="27" t="inlineStr">
        <is>
          <t>—</t>
        </is>
      </c>
      <c r="G211" s="27" t="inlineStr">
        <is>
          <t>—</t>
        </is>
      </c>
      <c r="H211" s="27" t="n">
        <v>1</v>
      </c>
      <c r="I211" s="27" t="n">
        <v>0</v>
      </c>
      <c r="J211" s="27" t="n">
        <v>1</v>
      </c>
      <c r="K211" s="27" t="n">
        <v>1</v>
      </c>
      <c r="L211" s="30" t="n">
        <v>0.08</v>
      </c>
      <c r="M211" s="31">
        <f>I211*Resumo!$C$6</f>
        <v/>
      </c>
      <c r="N211" s="31">
        <f>IF(I211&gt;0,Resumo!$C$7,0)</f>
        <v/>
      </c>
      <c r="O211" s="31">
        <f>M211+N211</f>
        <v/>
      </c>
      <c r="P211" s="27" t="n">
        <v>0</v>
      </c>
      <c r="Q211" s="31" t="n">
        <v>0</v>
      </c>
      <c r="R211" s="31" t="n">
        <v>0</v>
      </c>
      <c r="S211" s="31">
        <f>Q211*Resumo!$C$8</f>
        <v/>
      </c>
      <c r="T211" s="31">
        <f>S211-R211-O211</f>
        <v/>
      </c>
      <c r="U211" s="32">
        <f>IF(O211&gt;0,Q211/O211,0)</f>
        <v/>
      </c>
      <c r="V211" s="30">
        <f>IF(O211&gt;0,T211/O211,0)</f>
        <v/>
      </c>
    </row>
    <row r="212">
      <c r="A212" s="27" t="n">
        <v>211</v>
      </c>
      <c r="B212" s="28" t="inlineStr">
        <is>
          <t>gabrielpoli0</t>
        </is>
      </c>
      <c r="C212" s="28" t="inlineStr">
        <is>
          <t>@gabrielpoli0</t>
        </is>
      </c>
      <c r="D212" s="29" t="inlineStr">
        <is>
          <t>Nada enviado</t>
        </is>
      </c>
      <c r="E212" s="27" t="inlineStr">
        <is>
          <t>—</t>
        </is>
      </c>
      <c r="F212" s="27" t="inlineStr">
        <is>
          <t>—</t>
        </is>
      </c>
      <c r="G212" s="27" t="inlineStr">
        <is>
          <t>—</t>
        </is>
      </c>
      <c r="H212" s="27" t="n">
        <v>1</v>
      </c>
      <c r="I212" s="27" t="n">
        <v>0</v>
      </c>
      <c r="J212" s="27" t="n">
        <v>1</v>
      </c>
      <c r="K212" s="27" t="n">
        <v>1</v>
      </c>
      <c r="L212" s="30" t="n">
        <v>0.08</v>
      </c>
      <c r="M212" s="31">
        <f>I212*Resumo!$C$6</f>
        <v/>
      </c>
      <c r="N212" s="31">
        <f>IF(I212&gt;0,Resumo!$C$7,0)</f>
        <v/>
      </c>
      <c r="O212" s="31">
        <f>M212+N212</f>
        <v/>
      </c>
      <c r="P212" s="27" t="n">
        <v>0</v>
      </c>
      <c r="Q212" s="31" t="n">
        <v>0</v>
      </c>
      <c r="R212" s="31" t="n">
        <v>0</v>
      </c>
      <c r="S212" s="31">
        <f>Q212*Resumo!$C$8</f>
        <v/>
      </c>
      <c r="T212" s="31">
        <f>S212-R212-O212</f>
        <v/>
      </c>
      <c r="U212" s="32">
        <f>IF(O212&gt;0,Q212/O212,0)</f>
        <v/>
      </c>
      <c r="V212" s="30">
        <f>IF(O212&gt;0,T212/O212,0)</f>
        <v/>
      </c>
    </row>
    <row r="213">
      <c r="A213" s="27" t="n">
        <v>212</v>
      </c>
      <c r="B213" s="28" t="inlineStr">
        <is>
          <t>Grasi Shop 1</t>
        </is>
      </c>
      <c r="C213" s="28" t="inlineStr">
        <is>
          <t>@grasi.shop1</t>
        </is>
      </c>
      <c r="D213" s="29" t="inlineStr">
        <is>
          <t>Nada enviado</t>
        </is>
      </c>
      <c r="E213" s="27" t="inlineStr">
        <is>
          <t>—</t>
        </is>
      </c>
      <c r="F213" s="27" t="inlineStr">
        <is>
          <t>—</t>
        </is>
      </c>
      <c r="G213" s="27" t="inlineStr">
        <is>
          <t>—</t>
        </is>
      </c>
      <c r="H213" s="27" t="n">
        <v>1</v>
      </c>
      <c r="I213" s="27" t="n">
        <v>0</v>
      </c>
      <c r="J213" s="27" t="n">
        <v>1</v>
      </c>
      <c r="K213" s="27" t="n">
        <v>1</v>
      </c>
      <c r="L213" s="30" t="n">
        <v>0.08</v>
      </c>
      <c r="M213" s="31">
        <f>I213*Resumo!$C$6</f>
        <v/>
      </c>
      <c r="N213" s="31">
        <f>IF(I213&gt;0,Resumo!$C$7,0)</f>
        <v/>
      </c>
      <c r="O213" s="31">
        <f>M213+N213</f>
        <v/>
      </c>
      <c r="P213" s="27" t="n">
        <v>0</v>
      </c>
      <c r="Q213" s="31" t="n">
        <v>0</v>
      </c>
      <c r="R213" s="31" t="n">
        <v>0</v>
      </c>
      <c r="S213" s="31">
        <f>Q213*Resumo!$C$8</f>
        <v/>
      </c>
      <c r="T213" s="31">
        <f>S213-R213-O213</f>
        <v/>
      </c>
      <c r="U213" s="32">
        <f>IF(O213&gt;0,Q213/O213,0)</f>
        <v/>
      </c>
      <c r="V213" s="30">
        <f>IF(O213&gt;0,T213/O213,0)</f>
        <v/>
      </c>
    </row>
    <row r="214">
      <c r="A214" s="27" t="n">
        <v>213</v>
      </c>
      <c r="B214" s="28" t="inlineStr">
        <is>
          <t>As ofertas da semana</t>
        </is>
      </c>
      <c r="C214" s="28" t="inlineStr">
        <is>
          <t>@grazysoares603</t>
        </is>
      </c>
      <c r="D214" s="29" t="inlineStr">
        <is>
          <t>Nada enviado</t>
        </is>
      </c>
      <c r="E214" s="27" t="inlineStr">
        <is>
          <t>—</t>
        </is>
      </c>
      <c r="F214" s="27" t="inlineStr">
        <is>
          <t>—</t>
        </is>
      </c>
      <c r="G214" s="27" t="inlineStr">
        <is>
          <t>—</t>
        </is>
      </c>
      <c r="H214" s="27" t="n">
        <v>1</v>
      </c>
      <c r="I214" s="27" t="n">
        <v>0</v>
      </c>
      <c r="J214" s="27" t="n">
        <v>1</v>
      </c>
      <c r="K214" s="27" t="n">
        <v>1</v>
      </c>
      <c r="L214" s="30" t="n">
        <v>0.08</v>
      </c>
      <c r="M214" s="31">
        <f>I214*Resumo!$C$6</f>
        <v/>
      </c>
      <c r="N214" s="31">
        <f>IF(I214&gt;0,Resumo!$C$7,0)</f>
        <v/>
      </c>
      <c r="O214" s="31">
        <f>M214+N214</f>
        <v/>
      </c>
      <c r="P214" s="27" t="n">
        <v>0</v>
      </c>
      <c r="Q214" s="31" t="n">
        <v>0</v>
      </c>
      <c r="R214" s="31" t="n">
        <v>0</v>
      </c>
      <c r="S214" s="31">
        <f>Q214*Resumo!$C$8</f>
        <v/>
      </c>
      <c r="T214" s="31">
        <f>S214-R214-O214</f>
        <v/>
      </c>
      <c r="U214" s="32">
        <f>IF(O214&gt;0,Q214/O214,0)</f>
        <v/>
      </c>
      <c r="V214" s="30">
        <f>IF(O214&gt;0,T214/O214,0)</f>
        <v/>
      </c>
    </row>
    <row r="215">
      <c r="A215" s="27" t="n">
        <v>214</v>
      </c>
      <c r="B215" s="28" t="inlineStr">
        <is>
          <t>Ianca Moraes</t>
        </is>
      </c>
      <c r="C215" s="28" t="inlineStr">
        <is>
          <t>@ianncamoraes</t>
        </is>
      </c>
      <c r="D215" s="29" t="inlineStr">
        <is>
          <t>Nada enviado</t>
        </is>
      </c>
      <c r="E215" s="27" t="inlineStr">
        <is>
          <t>—</t>
        </is>
      </c>
      <c r="F215" s="27" t="inlineStr">
        <is>
          <t>—</t>
        </is>
      </c>
      <c r="G215" s="27" t="inlineStr">
        <is>
          <t>—</t>
        </is>
      </c>
      <c r="H215" s="27" t="n">
        <v>1</v>
      </c>
      <c r="I215" s="27" t="n">
        <v>0</v>
      </c>
      <c r="J215" s="27" t="n">
        <v>1</v>
      </c>
      <c r="K215" s="27" t="n">
        <v>1</v>
      </c>
      <c r="L215" s="30" t="n">
        <v>0.08</v>
      </c>
      <c r="M215" s="31">
        <f>I215*Resumo!$C$6</f>
        <v/>
      </c>
      <c r="N215" s="31">
        <f>IF(I215&gt;0,Resumo!$C$7,0)</f>
        <v/>
      </c>
      <c r="O215" s="31">
        <f>M215+N215</f>
        <v/>
      </c>
      <c r="P215" s="27" t="n">
        <v>0</v>
      </c>
      <c r="Q215" s="31" t="n">
        <v>0</v>
      </c>
      <c r="R215" s="31" t="n">
        <v>0</v>
      </c>
      <c r="S215" s="31">
        <f>Q215*Resumo!$C$8</f>
        <v/>
      </c>
      <c r="T215" s="31">
        <f>S215-R215-O215</f>
        <v/>
      </c>
      <c r="U215" s="32">
        <f>IF(O215&gt;0,Q215/O215,0)</f>
        <v/>
      </c>
      <c r="V215" s="30">
        <f>IF(O215&gt;0,T215/O215,0)</f>
        <v/>
      </c>
    </row>
    <row r="216">
      <c r="A216" s="27" t="n">
        <v>215</v>
      </c>
      <c r="B216" s="28" t="inlineStr">
        <is>
          <t>Indi Essência</t>
        </is>
      </c>
      <c r="C216" s="28" t="inlineStr">
        <is>
          <t>@indiessencia</t>
        </is>
      </c>
      <c r="D216" s="29" t="inlineStr">
        <is>
          <t>Nada enviado</t>
        </is>
      </c>
      <c r="E216" s="27" t="inlineStr">
        <is>
          <t>—</t>
        </is>
      </c>
      <c r="F216" s="27" t="inlineStr">
        <is>
          <t>—</t>
        </is>
      </c>
      <c r="G216" s="27" t="inlineStr">
        <is>
          <t>—</t>
        </is>
      </c>
      <c r="H216" s="27" t="n">
        <v>1</v>
      </c>
      <c r="I216" s="27" t="n">
        <v>0</v>
      </c>
      <c r="J216" s="27" t="n">
        <v>1</v>
      </c>
      <c r="K216" s="27" t="n">
        <v>1</v>
      </c>
      <c r="L216" s="30" t="n">
        <v>0.08</v>
      </c>
      <c r="M216" s="31">
        <f>I216*Resumo!$C$6</f>
        <v/>
      </c>
      <c r="N216" s="31">
        <f>IF(I216&gt;0,Resumo!$C$7,0)</f>
        <v/>
      </c>
      <c r="O216" s="31">
        <f>M216+N216</f>
        <v/>
      </c>
      <c r="P216" s="27" t="n">
        <v>0</v>
      </c>
      <c r="Q216" s="31" t="n">
        <v>0</v>
      </c>
      <c r="R216" s="31" t="n">
        <v>0</v>
      </c>
      <c r="S216" s="31">
        <f>Q216*Resumo!$C$8</f>
        <v/>
      </c>
      <c r="T216" s="31">
        <f>S216-R216-O216</f>
        <v/>
      </c>
      <c r="U216" s="32">
        <f>IF(O216&gt;0,Q216/O216,0)</f>
        <v/>
      </c>
      <c r="V216" s="30">
        <f>IF(O216&gt;0,T216/O216,0)</f>
        <v/>
      </c>
    </row>
    <row r="217">
      <c r="A217" s="27" t="n">
        <v>216</v>
      </c>
      <c r="B217" s="28" t="inlineStr">
        <is>
          <t>Ingryd Gabrieli</t>
        </is>
      </c>
      <c r="C217" s="28" t="inlineStr">
        <is>
          <t>@ingrydgoliveira</t>
        </is>
      </c>
      <c r="D217" s="29" t="inlineStr">
        <is>
          <t>Nada enviado</t>
        </is>
      </c>
      <c r="E217" s="27" t="inlineStr">
        <is>
          <t>—</t>
        </is>
      </c>
      <c r="F217" s="27" t="inlineStr">
        <is>
          <t>—</t>
        </is>
      </c>
      <c r="G217" s="27" t="inlineStr">
        <is>
          <t>—</t>
        </is>
      </c>
      <c r="H217" s="27" t="n">
        <v>1</v>
      </c>
      <c r="I217" s="27" t="n">
        <v>0</v>
      </c>
      <c r="J217" s="27" t="n">
        <v>1</v>
      </c>
      <c r="K217" s="27" t="n">
        <v>1</v>
      </c>
      <c r="L217" s="30" t="n">
        <v>0.08</v>
      </c>
      <c r="M217" s="31">
        <f>I217*Resumo!$C$6</f>
        <v/>
      </c>
      <c r="N217" s="31">
        <f>IF(I217&gt;0,Resumo!$C$7,0)</f>
        <v/>
      </c>
      <c r="O217" s="31">
        <f>M217+N217</f>
        <v/>
      </c>
      <c r="P217" s="27" t="n">
        <v>0</v>
      </c>
      <c r="Q217" s="31" t="n">
        <v>0</v>
      </c>
      <c r="R217" s="31" t="n">
        <v>0</v>
      </c>
      <c r="S217" s="31">
        <f>Q217*Resumo!$C$8</f>
        <v/>
      </c>
      <c r="T217" s="31">
        <f>S217-R217-O217</f>
        <v/>
      </c>
      <c r="U217" s="32">
        <f>IF(O217&gt;0,Q217/O217,0)</f>
        <v/>
      </c>
      <c r="V217" s="30">
        <f>IF(O217&gt;0,T217/O217,0)</f>
        <v/>
      </c>
    </row>
    <row r="218">
      <c r="A218" s="27" t="n">
        <v>217</v>
      </c>
      <c r="B218" s="28" t="inlineStr">
        <is>
          <t>Jackeline Roma</t>
        </is>
      </c>
      <c r="C218" s="28" t="inlineStr">
        <is>
          <t>@jackeindica</t>
        </is>
      </c>
      <c r="D218" s="29" t="inlineStr">
        <is>
          <t>Nada enviado</t>
        </is>
      </c>
      <c r="E218" s="27" t="inlineStr">
        <is>
          <t>—</t>
        </is>
      </c>
      <c r="F218" s="27" t="inlineStr">
        <is>
          <t>—</t>
        </is>
      </c>
      <c r="G218" s="27" t="inlineStr">
        <is>
          <t>—</t>
        </is>
      </c>
      <c r="H218" s="27" t="n">
        <v>1</v>
      </c>
      <c r="I218" s="27" t="n">
        <v>0</v>
      </c>
      <c r="J218" s="27" t="n">
        <v>1</v>
      </c>
      <c r="K218" s="27" t="n">
        <v>1</v>
      </c>
      <c r="L218" s="30" t="n">
        <v>0.08</v>
      </c>
      <c r="M218" s="31">
        <f>I218*Resumo!$C$6</f>
        <v/>
      </c>
      <c r="N218" s="31">
        <f>IF(I218&gt;0,Resumo!$C$7,0)</f>
        <v/>
      </c>
      <c r="O218" s="31">
        <f>M218+N218</f>
        <v/>
      </c>
      <c r="P218" s="27" t="n">
        <v>0</v>
      </c>
      <c r="Q218" s="31" t="n">
        <v>0</v>
      </c>
      <c r="R218" s="31" t="n">
        <v>0</v>
      </c>
      <c r="S218" s="31">
        <f>Q218*Resumo!$C$8</f>
        <v/>
      </c>
      <c r="T218" s="31">
        <f>S218-R218-O218</f>
        <v/>
      </c>
      <c r="U218" s="32">
        <f>IF(O218&gt;0,Q218/O218,0)</f>
        <v/>
      </c>
      <c r="V218" s="30">
        <f>IF(O218&gt;0,T218/O218,0)</f>
        <v/>
      </c>
    </row>
    <row r="219">
      <c r="A219" s="27" t="n">
        <v>218</v>
      </c>
      <c r="B219" s="28" t="inlineStr">
        <is>
          <t>Jeniffer Santana|tiktokshop</t>
        </is>
      </c>
      <c r="C219" s="28" t="inlineStr">
        <is>
          <t>@jeniffersantna</t>
        </is>
      </c>
      <c r="D219" s="29" t="inlineStr">
        <is>
          <t>Nada enviado</t>
        </is>
      </c>
      <c r="E219" s="27" t="inlineStr">
        <is>
          <t>—</t>
        </is>
      </c>
      <c r="F219" s="27" t="inlineStr">
        <is>
          <t>—</t>
        </is>
      </c>
      <c r="G219" s="27" t="inlineStr">
        <is>
          <t>—</t>
        </is>
      </c>
      <c r="H219" s="27" t="n">
        <v>1</v>
      </c>
      <c r="I219" s="27" t="n">
        <v>0</v>
      </c>
      <c r="J219" s="27" t="n">
        <v>1</v>
      </c>
      <c r="K219" s="27" t="n">
        <v>1</v>
      </c>
      <c r="L219" s="30" t="n">
        <v>0.08</v>
      </c>
      <c r="M219" s="31">
        <f>I219*Resumo!$C$6</f>
        <v/>
      </c>
      <c r="N219" s="31">
        <f>IF(I219&gt;0,Resumo!$C$7,0)</f>
        <v/>
      </c>
      <c r="O219" s="31">
        <f>M219+N219</f>
        <v/>
      </c>
      <c r="P219" s="27" t="n">
        <v>0</v>
      </c>
      <c r="Q219" s="31" t="n">
        <v>0</v>
      </c>
      <c r="R219" s="31" t="n">
        <v>0</v>
      </c>
      <c r="S219" s="31">
        <f>Q219*Resumo!$C$8</f>
        <v/>
      </c>
      <c r="T219" s="31">
        <f>S219-R219-O219</f>
        <v/>
      </c>
      <c r="U219" s="32">
        <f>IF(O219&gt;0,Q219/O219,0)</f>
        <v/>
      </c>
      <c r="V219" s="30">
        <f>IF(O219&gt;0,T219/O219,0)</f>
        <v/>
      </c>
    </row>
    <row r="220">
      <c r="A220" s="27" t="n">
        <v>219</v>
      </c>
      <c r="B220" s="28" t="inlineStr">
        <is>
          <t>Jéssica Gomes</t>
        </is>
      </c>
      <c r="C220" s="28" t="inlineStr">
        <is>
          <t>@jessicagomescreator</t>
        </is>
      </c>
      <c r="D220" s="29" t="inlineStr">
        <is>
          <t>Nada enviado</t>
        </is>
      </c>
      <c r="E220" s="27" t="inlineStr">
        <is>
          <t>—</t>
        </is>
      </c>
      <c r="F220" s="27" t="inlineStr">
        <is>
          <t>—</t>
        </is>
      </c>
      <c r="G220" s="27" t="inlineStr">
        <is>
          <t>—</t>
        </is>
      </c>
      <c r="H220" s="27" t="n">
        <v>1</v>
      </c>
      <c r="I220" s="27" t="n">
        <v>0</v>
      </c>
      <c r="J220" s="27" t="n">
        <v>1</v>
      </c>
      <c r="K220" s="27" t="n">
        <v>1</v>
      </c>
      <c r="L220" s="30" t="n">
        <v>0.08</v>
      </c>
      <c r="M220" s="31">
        <f>I220*Resumo!$C$6</f>
        <v/>
      </c>
      <c r="N220" s="31">
        <f>IF(I220&gt;0,Resumo!$C$7,0)</f>
        <v/>
      </c>
      <c r="O220" s="31">
        <f>M220+N220</f>
        <v/>
      </c>
      <c r="P220" s="27" t="n">
        <v>0</v>
      </c>
      <c r="Q220" s="31" t="n">
        <v>0</v>
      </c>
      <c r="R220" s="31" t="n">
        <v>0</v>
      </c>
      <c r="S220" s="31">
        <f>Q220*Resumo!$C$8</f>
        <v/>
      </c>
      <c r="T220" s="31">
        <f>S220-R220-O220</f>
        <v/>
      </c>
      <c r="U220" s="32">
        <f>IF(O220&gt;0,Q220/O220,0)</f>
        <v/>
      </c>
      <c r="V220" s="30">
        <f>IF(O220&gt;0,T220/O220,0)</f>
        <v/>
      </c>
    </row>
    <row r="221">
      <c r="A221" s="27" t="n">
        <v>220</v>
      </c>
      <c r="B221" s="28" t="inlineStr">
        <is>
          <t>Jocasta Nogueira</t>
        </is>
      </c>
      <c r="C221" s="28" t="inlineStr">
        <is>
          <t>@jocasta.nogueira</t>
        </is>
      </c>
      <c r="D221" s="29" t="inlineStr">
        <is>
          <t>Nada enviado</t>
        </is>
      </c>
      <c r="E221" s="27" t="inlineStr">
        <is>
          <t>—</t>
        </is>
      </c>
      <c r="F221" s="27" t="inlineStr">
        <is>
          <t>—</t>
        </is>
      </c>
      <c r="G221" s="27" t="inlineStr">
        <is>
          <t>—</t>
        </is>
      </c>
      <c r="H221" s="27" t="n">
        <v>1</v>
      </c>
      <c r="I221" s="27" t="n">
        <v>0</v>
      </c>
      <c r="J221" s="27" t="n">
        <v>1</v>
      </c>
      <c r="K221" s="27" t="n">
        <v>1</v>
      </c>
      <c r="L221" s="30" t="n">
        <v>0.08</v>
      </c>
      <c r="M221" s="31">
        <f>I221*Resumo!$C$6</f>
        <v/>
      </c>
      <c r="N221" s="31">
        <f>IF(I221&gt;0,Resumo!$C$7,0)</f>
        <v/>
      </c>
      <c r="O221" s="31">
        <f>M221+N221</f>
        <v/>
      </c>
      <c r="P221" s="27" t="n">
        <v>0</v>
      </c>
      <c r="Q221" s="31" t="n">
        <v>0</v>
      </c>
      <c r="R221" s="31" t="n">
        <v>0</v>
      </c>
      <c r="S221" s="31">
        <f>Q221*Resumo!$C$8</f>
        <v/>
      </c>
      <c r="T221" s="31">
        <f>S221-R221-O221</f>
        <v/>
      </c>
      <c r="U221" s="32">
        <f>IF(O221&gt;0,Q221/O221,0)</f>
        <v/>
      </c>
      <c r="V221" s="30">
        <f>IF(O221&gt;0,T221/O221,0)</f>
        <v/>
      </c>
    </row>
    <row r="222">
      <c r="A222" s="27" t="n">
        <v>221</v>
      </c>
      <c r="B222" s="28" t="inlineStr">
        <is>
          <t>Joyce Jaconne</t>
        </is>
      </c>
      <c r="C222" s="28" t="inlineStr">
        <is>
          <t>@joycejaconne</t>
        </is>
      </c>
      <c r="D222" s="29" t="inlineStr">
        <is>
          <t>Nada enviado</t>
        </is>
      </c>
      <c r="E222" s="27" t="inlineStr">
        <is>
          <t>—</t>
        </is>
      </c>
      <c r="F222" s="27" t="inlineStr">
        <is>
          <t>—</t>
        </is>
      </c>
      <c r="G222" s="27" t="inlineStr">
        <is>
          <t>—</t>
        </is>
      </c>
      <c r="H222" s="27" t="n">
        <v>1</v>
      </c>
      <c r="I222" s="27" t="n">
        <v>0</v>
      </c>
      <c r="J222" s="27" t="n">
        <v>1</v>
      </c>
      <c r="K222" s="27" t="n">
        <v>1</v>
      </c>
      <c r="L222" s="30" t="n">
        <v>0.08</v>
      </c>
      <c r="M222" s="31">
        <f>I222*Resumo!$C$6</f>
        <v/>
      </c>
      <c r="N222" s="31">
        <f>IF(I222&gt;0,Resumo!$C$7,0)</f>
        <v/>
      </c>
      <c r="O222" s="31">
        <f>M222+N222</f>
        <v/>
      </c>
      <c r="P222" s="27" t="n">
        <v>0</v>
      </c>
      <c r="Q222" s="31" t="n">
        <v>0</v>
      </c>
      <c r="R222" s="31" t="n">
        <v>0</v>
      </c>
      <c r="S222" s="31">
        <f>Q222*Resumo!$C$8</f>
        <v/>
      </c>
      <c r="T222" s="31">
        <f>S222-R222-O222</f>
        <v/>
      </c>
      <c r="U222" s="32">
        <f>IF(O222&gt;0,Q222/O222,0)</f>
        <v/>
      </c>
      <c r="V222" s="30">
        <f>IF(O222&gt;0,T222/O222,0)</f>
        <v/>
      </c>
    </row>
    <row r="223">
      <c r="A223" s="27" t="n">
        <v>222</v>
      </c>
      <c r="B223" s="28" t="inlineStr">
        <is>
          <t>Karen Bronze | Creator</t>
        </is>
      </c>
      <c r="C223" s="28" t="inlineStr">
        <is>
          <t>@karen.bronze</t>
        </is>
      </c>
      <c r="D223" s="29" t="inlineStr">
        <is>
          <t>Nada enviado</t>
        </is>
      </c>
      <c r="E223" s="27" t="inlineStr">
        <is>
          <t>—</t>
        </is>
      </c>
      <c r="F223" s="27" t="inlineStr">
        <is>
          <t>—</t>
        </is>
      </c>
      <c r="G223" s="27" t="inlineStr">
        <is>
          <t>—</t>
        </is>
      </c>
      <c r="H223" s="27" t="n">
        <v>1</v>
      </c>
      <c r="I223" s="27" t="n">
        <v>0</v>
      </c>
      <c r="J223" s="27" t="n">
        <v>1</v>
      </c>
      <c r="K223" s="27" t="n">
        <v>1</v>
      </c>
      <c r="L223" s="30" t="n">
        <v>0.08</v>
      </c>
      <c r="M223" s="31">
        <f>I223*Resumo!$C$6</f>
        <v/>
      </c>
      <c r="N223" s="31">
        <f>IF(I223&gt;0,Resumo!$C$7,0)</f>
        <v/>
      </c>
      <c r="O223" s="31">
        <f>M223+N223</f>
        <v/>
      </c>
      <c r="P223" s="27" t="n">
        <v>0</v>
      </c>
      <c r="Q223" s="31" t="n">
        <v>0</v>
      </c>
      <c r="R223" s="31" t="n">
        <v>0</v>
      </c>
      <c r="S223" s="31">
        <f>Q223*Resumo!$C$8</f>
        <v/>
      </c>
      <c r="T223" s="31">
        <f>S223-R223-O223</f>
        <v/>
      </c>
      <c r="U223" s="32">
        <f>IF(O223&gt;0,Q223/O223,0)</f>
        <v/>
      </c>
      <c r="V223" s="30">
        <f>IF(O223&gt;0,T223/O223,0)</f>
        <v/>
      </c>
    </row>
    <row r="224">
      <c r="A224" s="27" t="n">
        <v>223</v>
      </c>
      <c r="B224" s="28" t="inlineStr">
        <is>
          <t>Karina</t>
        </is>
      </c>
      <c r="C224" s="28" t="inlineStr">
        <is>
          <t>@karinaoliveira_01</t>
        </is>
      </c>
      <c r="D224" s="29" t="inlineStr">
        <is>
          <t>Nada enviado</t>
        </is>
      </c>
      <c r="E224" s="27" t="inlineStr">
        <is>
          <t>—</t>
        </is>
      </c>
      <c r="F224" s="27" t="inlineStr">
        <is>
          <t>—</t>
        </is>
      </c>
      <c r="G224" s="27" t="inlineStr">
        <is>
          <t>—</t>
        </is>
      </c>
      <c r="H224" s="27" t="n">
        <v>1</v>
      </c>
      <c r="I224" s="27" t="n">
        <v>0</v>
      </c>
      <c r="J224" s="27" t="n">
        <v>1</v>
      </c>
      <c r="K224" s="27" t="n">
        <v>1</v>
      </c>
      <c r="L224" s="30" t="n">
        <v>0.08</v>
      </c>
      <c r="M224" s="31">
        <f>I224*Resumo!$C$6</f>
        <v/>
      </c>
      <c r="N224" s="31">
        <f>IF(I224&gt;0,Resumo!$C$7,0)</f>
        <v/>
      </c>
      <c r="O224" s="31">
        <f>M224+N224</f>
        <v/>
      </c>
      <c r="P224" s="27" t="n">
        <v>0</v>
      </c>
      <c r="Q224" s="31" t="n">
        <v>0</v>
      </c>
      <c r="R224" s="31" t="n">
        <v>0</v>
      </c>
      <c r="S224" s="31">
        <f>Q224*Resumo!$C$8</f>
        <v/>
      </c>
      <c r="T224" s="31">
        <f>S224-R224-O224</f>
        <v/>
      </c>
      <c r="U224" s="32">
        <f>IF(O224&gt;0,Q224/O224,0)</f>
        <v/>
      </c>
      <c r="V224" s="30">
        <f>IF(O224&gt;0,T224/O224,0)</f>
        <v/>
      </c>
    </row>
    <row r="225">
      <c r="A225" s="27" t="n">
        <v>224</v>
      </c>
      <c r="B225" s="28" t="inlineStr">
        <is>
          <t>Karla Bianca</t>
        </is>
      </c>
      <c r="C225" s="28" t="inlineStr">
        <is>
          <t>@karlabiancapalacio</t>
        </is>
      </c>
      <c r="D225" s="29" t="inlineStr">
        <is>
          <t>Nada enviado</t>
        </is>
      </c>
      <c r="E225" s="27" t="inlineStr">
        <is>
          <t>—</t>
        </is>
      </c>
      <c r="F225" s="27" t="inlineStr">
        <is>
          <t>—</t>
        </is>
      </c>
      <c r="G225" s="27" t="inlineStr">
        <is>
          <t>—</t>
        </is>
      </c>
      <c r="H225" s="27" t="n">
        <v>1</v>
      </c>
      <c r="I225" s="27" t="n">
        <v>0</v>
      </c>
      <c r="J225" s="27" t="n">
        <v>1</v>
      </c>
      <c r="K225" s="27" t="n">
        <v>1</v>
      </c>
      <c r="L225" s="30" t="n">
        <v>0.08</v>
      </c>
      <c r="M225" s="31">
        <f>I225*Resumo!$C$6</f>
        <v/>
      </c>
      <c r="N225" s="31">
        <f>IF(I225&gt;0,Resumo!$C$7,0)</f>
        <v/>
      </c>
      <c r="O225" s="31">
        <f>M225+N225</f>
        <v/>
      </c>
      <c r="P225" s="27" t="n">
        <v>0</v>
      </c>
      <c r="Q225" s="31" t="n">
        <v>0</v>
      </c>
      <c r="R225" s="31" t="n">
        <v>0</v>
      </c>
      <c r="S225" s="31">
        <f>Q225*Resumo!$C$8</f>
        <v/>
      </c>
      <c r="T225" s="31">
        <f>S225-R225-O225</f>
        <v/>
      </c>
      <c r="U225" s="32">
        <f>IF(O225&gt;0,Q225/O225,0)</f>
        <v/>
      </c>
      <c r="V225" s="30">
        <f>IF(O225&gt;0,T225/O225,0)</f>
        <v/>
      </c>
    </row>
    <row r="226">
      <c r="A226" s="27" t="n">
        <v>225</v>
      </c>
      <c r="B226" s="28" t="inlineStr">
        <is>
          <t>Kelly Oliveira</t>
        </is>
      </c>
      <c r="C226" s="28" t="inlineStr">
        <is>
          <t>@kelly.oliveira83</t>
        </is>
      </c>
      <c r="D226" s="29" t="inlineStr">
        <is>
          <t>Nada enviado</t>
        </is>
      </c>
      <c r="E226" s="27" t="inlineStr">
        <is>
          <t>—</t>
        </is>
      </c>
      <c r="F226" s="27" t="inlineStr">
        <is>
          <t>—</t>
        </is>
      </c>
      <c r="G226" s="27" t="inlineStr">
        <is>
          <t>—</t>
        </is>
      </c>
      <c r="H226" s="27" t="n">
        <v>1</v>
      </c>
      <c r="I226" s="27" t="n">
        <v>0</v>
      </c>
      <c r="J226" s="27" t="n">
        <v>1</v>
      </c>
      <c r="K226" s="27" t="n">
        <v>1</v>
      </c>
      <c r="L226" s="30" t="n">
        <v>0.08</v>
      </c>
      <c r="M226" s="31">
        <f>I226*Resumo!$C$6</f>
        <v/>
      </c>
      <c r="N226" s="31">
        <f>IF(I226&gt;0,Resumo!$C$7,0)</f>
        <v/>
      </c>
      <c r="O226" s="31">
        <f>M226+N226</f>
        <v/>
      </c>
      <c r="P226" s="27" t="n">
        <v>0</v>
      </c>
      <c r="Q226" s="31" t="n">
        <v>0</v>
      </c>
      <c r="R226" s="31" t="n">
        <v>0</v>
      </c>
      <c r="S226" s="31">
        <f>Q226*Resumo!$C$8</f>
        <v/>
      </c>
      <c r="T226" s="31">
        <f>S226-R226-O226</f>
        <v/>
      </c>
      <c r="U226" s="32">
        <f>IF(O226&gt;0,Q226/O226,0)</f>
        <v/>
      </c>
      <c r="V226" s="30">
        <f>IF(O226&gt;0,T226/O226,0)</f>
        <v/>
      </c>
    </row>
    <row r="227">
      <c r="A227" s="27" t="n">
        <v>226</v>
      </c>
      <c r="B227" s="28" t="inlineStr">
        <is>
          <t>Lais Kelly</t>
        </is>
      </c>
      <c r="C227" s="28" t="inlineStr">
        <is>
          <t>@laiskellyjf</t>
        </is>
      </c>
      <c r="D227" s="29" t="inlineStr">
        <is>
          <t>Nada enviado</t>
        </is>
      </c>
      <c r="E227" s="27" t="inlineStr">
        <is>
          <t>—</t>
        </is>
      </c>
      <c r="F227" s="27" t="inlineStr">
        <is>
          <t>—</t>
        </is>
      </c>
      <c r="G227" s="27" t="inlineStr">
        <is>
          <t>—</t>
        </is>
      </c>
      <c r="H227" s="27" t="n">
        <v>3</v>
      </c>
      <c r="I227" s="27" t="n">
        <v>0</v>
      </c>
      <c r="J227" s="27" t="n">
        <v>3</v>
      </c>
      <c r="K227" s="27" t="n">
        <v>1</v>
      </c>
      <c r="L227" s="30" t="n">
        <v>0.08</v>
      </c>
      <c r="M227" s="31">
        <f>I227*Resumo!$C$6</f>
        <v/>
      </c>
      <c r="N227" s="31">
        <f>IF(I227&gt;0,Resumo!$C$7,0)</f>
        <v/>
      </c>
      <c r="O227" s="31">
        <f>M227+N227</f>
        <v/>
      </c>
      <c r="P227" s="27" t="n">
        <v>0</v>
      </c>
      <c r="Q227" s="31" t="n">
        <v>0</v>
      </c>
      <c r="R227" s="31" t="n">
        <v>0</v>
      </c>
      <c r="S227" s="31">
        <f>Q227*Resumo!$C$8</f>
        <v/>
      </c>
      <c r="T227" s="31">
        <f>S227-R227-O227</f>
        <v/>
      </c>
      <c r="U227" s="32">
        <f>IF(O227&gt;0,Q227/O227,0)</f>
        <v/>
      </c>
      <c r="V227" s="30">
        <f>IF(O227&gt;0,T227/O227,0)</f>
        <v/>
      </c>
    </row>
    <row r="228">
      <c r="A228" s="27" t="n">
        <v>227</v>
      </c>
      <c r="B228" s="28" t="inlineStr">
        <is>
          <t>La Maré</t>
        </is>
      </c>
      <c r="C228" s="28" t="inlineStr">
        <is>
          <t>@lamarebr</t>
        </is>
      </c>
      <c r="D228" s="29" t="inlineStr">
        <is>
          <t>Nada enviado</t>
        </is>
      </c>
      <c r="E228" s="27" t="inlineStr">
        <is>
          <t>—</t>
        </is>
      </c>
      <c r="F228" s="27" t="inlineStr">
        <is>
          <t>—</t>
        </is>
      </c>
      <c r="G228" s="27" t="inlineStr">
        <is>
          <t>—</t>
        </is>
      </c>
      <c r="H228" s="27" t="n">
        <v>1</v>
      </c>
      <c r="I228" s="27" t="n">
        <v>0</v>
      </c>
      <c r="J228" s="27" t="n">
        <v>1</v>
      </c>
      <c r="K228" s="27" t="n">
        <v>1</v>
      </c>
      <c r="L228" s="30" t="n">
        <v>0.08</v>
      </c>
      <c r="M228" s="31">
        <f>I228*Resumo!$C$6</f>
        <v/>
      </c>
      <c r="N228" s="31">
        <f>IF(I228&gt;0,Resumo!$C$7,0)</f>
        <v/>
      </c>
      <c r="O228" s="31">
        <f>M228+N228</f>
        <v/>
      </c>
      <c r="P228" s="27" t="n">
        <v>0</v>
      </c>
      <c r="Q228" s="31" t="n">
        <v>0</v>
      </c>
      <c r="R228" s="31" t="n">
        <v>0</v>
      </c>
      <c r="S228" s="31">
        <f>Q228*Resumo!$C$8</f>
        <v/>
      </c>
      <c r="T228" s="31">
        <f>S228-R228-O228</f>
        <v/>
      </c>
      <c r="U228" s="32">
        <f>IF(O228&gt;0,Q228/O228,0)</f>
        <v/>
      </c>
      <c r="V228" s="30">
        <f>IF(O228&gt;0,T228/O228,0)</f>
        <v/>
      </c>
    </row>
    <row r="229">
      <c r="A229" s="27" t="n">
        <v>228</v>
      </c>
      <c r="B229" s="28" t="inlineStr">
        <is>
          <t>larahhab</t>
        </is>
      </c>
      <c r="C229" s="28" t="inlineStr">
        <is>
          <t>@larahhab</t>
        </is>
      </c>
      <c r="D229" s="29" t="inlineStr">
        <is>
          <t>Nada enviado</t>
        </is>
      </c>
      <c r="E229" s="27" t="inlineStr">
        <is>
          <t>—</t>
        </is>
      </c>
      <c r="F229" s="27" t="inlineStr">
        <is>
          <t>—</t>
        </is>
      </c>
      <c r="G229" s="27" t="inlineStr">
        <is>
          <t>—</t>
        </is>
      </c>
      <c r="H229" s="27" t="n">
        <v>1</v>
      </c>
      <c r="I229" s="27" t="n">
        <v>0</v>
      </c>
      <c r="J229" s="27" t="n">
        <v>1</v>
      </c>
      <c r="K229" s="27" t="n">
        <v>1</v>
      </c>
      <c r="L229" s="30" t="n">
        <v>0.08</v>
      </c>
      <c r="M229" s="31">
        <f>I229*Resumo!$C$6</f>
        <v/>
      </c>
      <c r="N229" s="31">
        <f>IF(I229&gt;0,Resumo!$C$7,0)</f>
        <v/>
      </c>
      <c r="O229" s="31">
        <f>M229+N229</f>
        <v/>
      </c>
      <c r="P229" s="27" t="n">
        <v>0</v>
      </c>
      <c r="Q229" s="31" t="n">
        <v>0</v>
      </c>
      <c r="R229" s="31" t="n">
        <v>0</v>
      </c>
      <c r="S229" s="31">
        <f>Q229*Resumo!$C$8</f>
        <v/>
      </c>
      <c r="T229" s="31">
        <f>S229-R229-O229</f>
        <v/>
      </c>
      <c r="U229" s="32">
        <f>IF(O229&gt;0,Q229/O229,0)</f>
        <v/>
      </c>
      <c r="V229" s="30">
        <f>IF(O229&gt;0,T229/O229,0)</f>
        <v/>
      </c>
    </row>
    <row r="230">
      <c r="A230" s="27" t="n">
        <v>229</v>
      </c>
      <c r="B230" s="28" t="inlineStr">
        <is>
          <t>Lari Pereira</t>
        </is>
      </c>
      <c r="C230" s="28" t="inlineStr">
        <is>
          <t>@laridesahpereira</t>
        </is>
      </c>
      <c r="D230" s="29" t="inlineStr">
        <is>
          <t>Nada enviado</t>
        </is>
      </c>
      <c r="E230" s="27" t="inlineStr">
        <is>
          <t>—</t>
        </is>
      </c>
      <c r="F230" s="27" t="inlineStr">
        <is>
          <t>—</t>
        </is>
      </c>
      <c r="G230" s="27" t="inlineStr">
        <is>
          <t>—</t>
        </is>
      </c>
      <c r="H230" s="27" t="n">
        <v>1</v>
      </c>
      <c r="I230" s="27" t="n">
        <v>0</v>
      </c>
      <c r="J230" s="27" t="n">
        <v>1</v>
      </c>
      <c r="K230" s="27" t="n">
        <v>1</v>
      </c>
      <c r="L230" s="30" t="n">
        <v>0.08</v>
      </c>
      <c r="M230" s="31">
        <f>I230*Resumo!$C$6</f>
        <v/>
      </c>
      <c r="N230" s="31">
        <f>IF(I230&gt;0,Resumo!$C$7,0)</f>
        <v/>
      </c>
      <c r="O230" s="31">
        <f>M230+N230</f>
        <v/>
      </c>
      <c r="P230" s="27" t="n">
        <v>0</v>
      </c>
      <c r="Q230" s="31" t="n">
        <v>0</v>
      </c>
      <c r="R230" s="31" t="n">
        <v>0</v>
      </c>
      <c r="S230" s="31">
        <f>Q230*Resumo!$C$8</f>
        <v/>
      </c>
      <c r="T230" s="31">
        <f>S230-R230-O230</f>
        <v/>
      </c>
      <c r="U230" s="32">
        <f>IF(O230&gt;0,Q230/O230,0)</f>
        <v/>
      </c>
      <c r="V230" s="30">
        <f>IF(O230&gt;0,T230/O230,0)</f>
        <v/>
      </c>
    </row>
    <row r="231">
      <c r="A231" s="27" t="n">
        <v>230</v>
      </c>
      <c r="B231" s="28" t="inlineStr">
        <is>
          <t>Laryoliveira🐆</t>
        </is>
      </c>
      <c r="C231" s="28" t="inlineStr">
        <is>
          <t>@laryoliveiira_</t>
        </is>
      </c>
      <c r="D231" s="29" t="inlineStr">
        <is>
          <t>Nada enviado</t>
        </is>
      </c>
      <c r="E231" s="27" t="inlineStr">
        <is>
          <t>—</t>
        </is>
      </c>
      <c r="F231" s="27" t="inlineStr">
        <is>
          <t>—</t>
        </is>
      </c>
      <c r="G231" s="27" t="inlineStr">
        <is>
          <t>—</t>
        </is>
      </c>
      <c r="H231" s="27" t="n">
        <v>1</v>
      </c>
      <c r="I231" s="27" t="n">
        <v>0</v>
      </c>
      <c r="J231" s="27" t="n">
        <v>1</v>
      </c>
      <c r="K231" s="27" t="n">
        <v>1</v>
      </c>
      <c r="L231" s="30" t="n">
        <v>0.08</v>
      </c>
      <c r="M231" s="31">
        <f>I231*Resumo!$C$6</f>
        <v/>
      </c>
      <c r="N231" s="31">
        <f>IF(I231&gt;0,Resumo!$C$7,0)</f>
        <v/>
      </c>
      <c r="O231" s="31">
        <f>M231+N231</f>
        <v/>
      </c>
      <c r="P231" s="27" t="n">
        <v>0</v>
      </c>
      <c r="Q231" s="31" t="n">
        <v>0</v>
      </c>
      <c r="R231" s="31" t="n">
        <v>0</v>
      </c>
      <c r="S231" s="31">
        <f>Q231*Resumo!$C$8</f>
        <v/>
      </c>
      <c r="T231" s="31">
        <f>S231-R231-O231</f>
        <v/>
      </c>
      <c r="U231" s="32">
        <f>IF(O231&gt;0,Q231/O231,0)</f>
        <v/>
      </c>
      <c r="V231" s="30">
        <f>IF(O231&gt;0,T231/O231,0)</f>
        <v/>
      </c>
    </row>
    <row r="232">
      <c r="A232" s="27" t="n">
        <v>231</v>
      </c>
      <c r="B232" s="28" t="inlineStr">
        <is>
          <t>Leila Porfirio</t>
        </is>
      </c>
      <c r="C232" s="28" t="inlineStr">
        <is>
          <t>@leillaporfirio</t>
        </is>
      </c>
      <c r="D232" s="29" t="inlineStr">
        <is>
          <t>Nada enviado</t>
        </is>
      </c>
      <c r="E232" s="27" t="inlineStr">
        <is>
          <t>—</t>
        </is>
      </c>
      <c r="F232" s="27" t="inlineStr">
        <is>
          <t>—</t>
        </is>
      </c>
      <c r="G232" s="27" t="inlineStr">
        <is>
          <t>—</t>
        </is>
      </c>
      <c r="H232" s="27" t="n">
        <v>1</v>
      </c>
      <c r="I232" s="27" t="n">
        <v>0</v>
      </c>
      <c r="J232" s="27" t="n">
        <v>1</v>
      </c>
      <c r="K232" s="27" t="n">
        <v>1</v>
      </c>
      <c r="L232" s="30" t="n">
        <v>0.08</v>
      </c>
      <c r="M232" s="31">
        <f>I232*Resumo!$C$6</f>
        <v/>
      </c>
      <c r="N232" s="31">
        <f>IF(I232&gt;0,Resumo!$C$7,0)</f>
        <v/>
      </c>
      <c r="O232" s="31">
        <f>M232+N232</f>
        <v/>
      </c>
      <c r="P232" s="27" t="n">
        <v>0</v>
      </c>
      <c r="Q232" s="31" t="n">
        <v>0</v>
      </c>
      <c r="R232" s="31" t="n">
        <v>0</v>
      </c>
      <c r="S232" s="31">
        <f>Q232*Resumo!$C$8</f>
        <v/>
      </c>
      <c r="T232" s="31">
        <f>S232-R232-O232</f>
        <v/>
      </c>
      <c r="U232" s="32">
        <f>IF(O232&gt;0,Q232/O232,0)</f>
        <v/>
      </c>
      <c r="V232" s="30">
        <f>IF(O232&gt;0,T232/O232,0)</f>
        <v/>
      </c>
    </row>
    <row r="233">
      <c r="A233" s="27" t="n">
        <v>232</v>
      </c>
      <c r="B233" s="28" t="inlineStr">
        <is>
          <t>Letícia</t>
        </is>
      </c>
      <c r="C233" s="28" t="inlineStr">
        <is>
          <t>@leticiabtiktokshop</t>
        </is>
      </c>
      <c r="D233" s="29" t="inlineStr">
        <is>
          <t>Nada enviado</t>
        </is>
      </c>
      <c r="E233" s="27" t="inlineStr">
        <is>
          <t>—</t>
        </is>
      </c>
      <c r="F233" s="27" t="inlineStr">
        <is>
          <t>—</t>
        </is>
      </c>
      <c r="G233" s="27" t="inlineStr">
        <is>
          <t>—</t>
        </is>
      </c>
      <c r="H233" s="27" t="n">
        <v>1</v>
      </c>
      <c r="I233" s="27" t="n">
        <v>0</v>
      </c>
      <c r="J233" s="27" t="n">
        <v>1</v>
      </c>
      <c r="K233" s="27" t="n">
        <v>1</v>
      </c>
      <c r="L233" s="30" t="n">
        <v>0.08</v>
      </c>
      <c r="M233" s="31">
        <f>I233*Resumo!$C$6</f>
        <v/>
      </c>
      <c r="N233" s="31">
        <f>IF(I233&gt;0,Resumo!$C$7,0)</f>
        <v/>
      </c>
      <c r="O233" s="31">
        <f>M233+N233</f>
        <v/>
      </c>
      <c r="P233" s="27" t="n">
        <v>0</v>
      </c>
      <c r="Q233" s="31" t="n">
        <v>0</v>
      </c>
      <c r="R233" s="31" t="n">
        <v>0</v>
      </c>
      <c r="S233" s="31">
        <f>Q233*Resumo!$C$8</f>
        <v/>
      </c>
      <c r="T233" s="31">
        <f>S233-R233-O233</f>
        <v/>
      </c>
      <c r="U233" s="32">
        <f>IF(O233&gt;0,Q233/O233,0)</f>
        <v/>
      </c>
      <c r="V233" s="30">
        <f>IF(O233&gt;0,T233/O233,0)</f>
        <v/>
      </c>
    </row>
    <row r="234">
      <c r="A234" s="27" t="n">
        <v>233</v>
      </c>
      <c r="B234" s="28" t="inlineStr">
        <is>
          <t>Lidiane Vaz</t>
        </is>
      </c>
      <c r="C234" s="28" t="inlineStr">
        <is>
          <t>@lidiane.vaz6</t>
        </is>
      </c>
      <c r="D234" s="29" t="inlineStr">
        <is>
          <t>Nada enviado</t>
        </is>
      </c>
      <c r="E234" s="27" t="inlineStr">
        <is>
          <t>—</t>
        </is>
      </c>
      <c r="F234" s="27" t="inlineStr">
        <is>
          <t>—</t>
        </is>
      </c>
      <c r="G234" s="27" t="inlineStr">
        <is>
          <t>—</t>
        </is>
      </c>
      <c r="H234" s="27" t="n">
        <v>1</v>
      </c>
      <c r="I234" s="27" t="n">
        <v>0</v>
      </c>
      <c r="J234" s="27" t="n">
        <v>1</v>
      </c>
      <c r="K234" s="27" t="n">
        <v>1</v>
      </c>
      <c r="L234" s="30" t="n">
        <v>0.08</v>
      </c>
      <c r="M234" s="31">
        <f>I234*Resumo!$C$6</f>
        <v/>
      </c>
      <c r="N234" s="31">
        <f>IF(I234&gt;0,Resumo!$C$7,0)</f>
        <v/>
      </c>
      <c r="O234" s="31">
        <f>M234+N234</f>
        <v/>
      </c>
      <c r="P234" s="27" t="n">
        <v>0</v>
      </c>
      <c r="Q234" s="31" t="n">
        <v>0</v>
      </c>
      <c r="R234" s="31" t="n">
        <v>0</v>
      </c>
      <c r="S234" s="31">
        <f>Q234*Resumo!$C$8</f>
        <v/>
      </c>
      <c r="T234" s="31">
        <f>S234-R234-O234</f>
        <v/>
      </c>
      <c r="U234" s="32">
        <f>IF(O234&gt;0,Q234/O234,0)</f>
        <v/>
      </c>
      <c r="V234" s="30">
        <f>IF(O234&gt;0,T234/O234,0)</f>
        <v/>
      </c>
    </row>
    <row r="235">
      <c r="A235" s="27" t="n">
        <v>234</v>
      </c>
      <c r="B235" s="28" t="inlineStr">
        <is>
          <t>luceliamacedo</t>
        </is>
      </c>
      <c r="C235" s="28" t="inlineStr">
        <is>
          <t>@luceliamacedoshop</t>
        </is>
      </c>
      <c r="D235" s="29" t="inlineStr">
        <is>
          <t>Nada enviado</t>
        </is>
      </c>
      <c r="E235" s="27" t="inlineStr">
        <is>
          <t>—</t>
        </is>
      </c>
      <c r="F235" s="27" t="inlineStr">
        <is>
          <t>—</t>
        </is>
      </c>
      <c r="G235" s="27" t="inlineStr">
        <is>
          <t>—</t>
        </is>
      </c>
      <c r="H235" s="27" t="n">
        <v>1</v>
      </c>
      <c r="I235" s="27" t="n">
        <v>0</v>
      </c>
      <c r="J235" s="27" t="n">
        <v>1</v>
      </c>
      <c r="K235" s="27" t="n">
        <v>1</v>
      </c>
      <c r="L235" s="30" t="n">
        <v>0.08</v>
      </c>
      <c r="M235" s="31">
        <f>I235*Resumo!$C$6</f>
        <v/>
      </c>
      <c r="N235" s="31">
        <f>IF(I235&gt;0,Resumo!$C$7,0)</f>
        <v/>
      </c>
      <c r="O235" s="31">
        <f>M235+N235</f>
        <v/>
      </c>
      <c r="P235" s="27" t="n">
        <v>0</v>
      </c>
      <c r="Q235" s="31" t="n">
        <v>0</v>
      </c>
      <c r="R235" s="31" t="n">
        <v>0</v>
      </c>
      <c r="S235" s="31">
        <f>Q235*Resumo!$C$8</f>
        <v/>
      </c>
      <c r="T235" s="31">
        <f>S235-R235-O235</f>
        <v/>
      </c>
      <c r="U235" s="32">
        <f>IF(O235&gt;0,Q235/O235,0)</f>
        <v/>
      </c>
      <c r="V235" s="30">
        <f>IF(O235&gt;0,T235/O235,0)</f>
        <v/>
      </c>
    </row>
    <row r="236">
      <c r="A236" s="27" t="n">
        <v>235</v>
      </c>
      <c r="B236" s="28" t="inlineStr">
        <is>
          <t>Maisa Cunha</t>
        </is>
      </c>
      <c r="C236" s="28" t="inlineStr">
        <is>
          <t>@ma_isacunha</t>
        </is>
      </c>
      <c r="D236" s="29" t="inlineStr">
        <is>
          <t>Nada enviado</t>
        </is>
      </c>
      <c r="E236" s="27" t="inlineStr">
        <is>
          <t>—</t>
        </is>
      </c>
      <c r="F236" s="27" t="inlineStr">
        <is>
          <t>—</t>
        </is>
      </c>
      <c r="G236" s="27" t="inlineStr">
        <is>
          <t>—</t>
        </is>
      </c>
      <c r="H236" s="27" t="n">
        <v>1</v>
      </c>
      <c r="I236" s="27" t="n">
        <v>0</v>
      </c>
      <c r="J236" s="27" t="n">
        <v>1</v>
      </c>
      <c r="K236" s="27" t="n">
        <v>1</v>
      </c>
      <c r="L236" s="30" t="n">
        <v>0.08</v>
      </c>
      <c r="M236" s="31">
        <f>I236*Resumo!$C$6</f>
        <v/>
      </c>
      <c r="N236" s="31">
        <f>IF(I236&gt;0,Resumo!$C$7,0)</f>
        <v/>
      </c>
      <c r="O236" s="31">
        <f>M236+N236</f>
        <v/>
      </c>
      <c r="P236" s="27" t="n">
        <v>0</v>
      </c>
      <c r="Q236" s="31" t="n">
        <v>0</v>
      </c>
      <c r="R236" s="31" t="n">
        <v>0</v>
      </c>
      <c r="S236" s="31">
        <f>Q236*Resumo!$C$8</f>
        <v/>
      </c>
      <c r="T236" s="31">
        <f>S236-R236-O236</f>
        <v/>
      </c>
      <c r="U236" s="32">
        <f>IF(O236&gt;0,Q236/O236,0)</f>
        <v/>
      </c>
      <c r="V236" s="30">
        <f>IF(O236&gt;0,T236/O236,0)</f>
        <v/>
      </c>
    </row>
    <row r="237">
      <c r="A237" s="27" t="n">
        <v>236</v>
      </c>
      <c r="B237" s="28" t="inlineStr">
        <is>
          <t>Mary Veras</t>
        </is>
      </c>
      <c r="C237" s="28" t="inlineStr">
        <is>
          <t>@marianaverasoficial</t>
        </is>
      </c>
      <c r="D237" s="29" t="inlineStr">
        <is>
          <t>Nada enviado</t>
        </is>
      </c>
      <c r="E237" s="27" t="inlineStr">
        <is>
          <t>—</t>
        </is>
      </c>
      <c r="F237" s="27" t="inlineStr">
        <is>
          <t>—</t>
        </is>
      </c>
      <c r="G237" s="27" t="inlineStr">
        <is>
          <t>—</t>
        </is>
      </c>
      <c r="H237" s="27" t="n">
        <v>1</v>
      </c>
      <c r="I237" s="27" t="n">
        <v>0</v>
      </c>
      <c r="J237" s="27" t="n">
        <v>1</v>
      </c>
      <c r="K237" s="27" t="n">
        <v>1</v>
      </c>
      <c r="L237" s="30" t="n">
        <v>0.08</v>
      </c>
      <c r="M237" s="31">
        <f>I237*Resumo!$C$6</f>
        <v/>
      </c>
      <c r="N237" s="31">
        <f>IF(I237&gt;0,Resumo!$C$7,0)</f>
        <v/>
      </c>
      <c r="O237" s="31">
        <f>M237+N237</f>
        <v/>
      </c>
      <c r="P237" s="27" t="n">
        <v>0</v>
      </c>
      <c r="Q237" s="31" t="n">
        <v>0</v>
      </c>
      <c r="R237" s="31" t="n">
        <v>0</v>
      </c>
      <c r="S237" s="31">
        <f>Q237*Resumo!$C$8</f>
        <v/>
      </c>
      <c r="T237" s="31">
        <f>S237-R237-O237</f>
        <v/>
      </c>
      <c r="U237" s="32">
        <f>IF(O237&gt;0,Q237/O237,0)</f>
        <v/>
      </c>
      <c r="V237" s="30">
        <f>IF(O237&gt;0,T237/O237,0)</f>
        <v/>
      </c>
    </row>
    <row r="238">
      <c r="A238" s="27" t="n">
        <v>237</v>
      </c>
      <c r="B238" s="28" t="inlineStr">
        <is>
          <t>Maysa Marina</t>
        </is>
      </c>
      <c r="C238" s="28" t="inlineStr">
        <is>
          <t>@maysamarina10</t>
        </is>
      </c>
      <c r="D238" s="29" t="inlineStr">
        <is>
          <t>Nada enviado</t>
        </is>
      </c>
      <c r="E238" s="27" t="inlineStr">
        <is>
          <t>—</t>
        </is>
      </c>
      <c r="F238" s="27" t="inlineStr">
        <is>
          <t>—</t>
        </is>
      </c>
      <c r="G238" s="27" t="inlineStr">
        <is>
          <t>—</t>
        </is>
      </c>
      <c r="H238" s="27" t="n">
        <v>1</v>
      </c>
      <c r="I238" s="27" t="n">
        <v>0</v>
      </c>
      <c r="J238" s="27" t="n">
        <v>1</v>
      </c>
      <c r="K238" s="27" t="n">
        <v>1</v>
      </c>
      <c r="L238" s="30" t="n">
        <v>0.08</v>
      </c>
      <c r="M238" s="31">
        <f>I238*Resumo!$C$6</f>
        <v/>
      </c>
      <c r="N238" s="31">
        <f>IF(I238&gt;0,Resumo!$C$7,0)</f>
        <v/>
      </c>
      <c r="O238" s="31">
        <f>M238+N238</f>
        <v/>
      </c>
      <c r="P238" s="27" t="n">
        <v>0</v>
      </c>
      <c r="Q238" s="31" t="n">
        <v>0</v>
      </c>
      <c r="R238" s="31" t="n">
        <v>0</v>
      </c>
      <c r="S238" s="31">
        <f>Q238*Resumo!$C$8</f>
        <v/>
      </c>
      <c r="T238" s="31">
        <f>S238-R238-O238</f>
        <v/>
      </c>
      <c r="U238" s="32">
        <f>IF(O238&gt;0,Q238/O238,0)</f>
        <v/>
      </c>
      <c r="V238" s="30">
        <f>IF(O238&gt;0,T238/O238,0)</f>
        <v/>
      </c>
    </row>
    <row r="239">
      <c r="A239" s="27" t="n">
        <v>238</v>
      </c>
      <c r="B239" s="28" t="inlineStr">
        <is>
          <t>Bia Cerri</t>
        </is>
      </c>
      <c r="C239" s="28" t="inlineStr">
        <is>
          <t>@melhoresdicas68</t>
        </is>
      </c>
      <c r="D239" s="29" t="inlineStr">
        <is>
          <t>Nada enviado</t>
        </is>
      </c>
      <c r="E239" s="27" t="inlineStr">
        <is>
          <t>—</t>
        </is>
      </c>
      <c r="F239" s="27" t="inlineStr">
        <is>
          <t>—</t>
        </is>
      </c>
      <c r="G239" s="27" t="inlineStr">
        <is>
          <t>—</t>
        </is>
      </c>
      <c r="H239" s="27" t="n">
        <v>1</v>
      </c>
      <c r="I239" s="27" t="n">
        <v>0</v>
      </c>
      <c r="J239" s="27" t="n">
        <v>1</v>
      </c>
      <c r="K239" s="27" t="n">
        <v>1</v>
      </c>
      <c r="L239" s="30" t="n">
        <v>0.08</v>
      </c>
      <c r="M239" s="31">
        <f>I239*Resumo!$C$6</f>
        <v/>
      </c>
      <c r="N239" s="31">
        <f>IF(I239&gt;0,Resumo!$C$7,0)</f>
        <v/>
      </c>
      <c r="O239" s="31">
        <f>M239+N239</f>
        <v/>
      </c>
      <c r="P239" s="27" t="n">
        <v>0</v>
      </c>
      <c r="Q239" s="31" t="n">
        <v>0</v>
      </c>
      <c r="R239" s="31" t="n">
        <v>0</v>
      </c>
      <c r="S239" s="31">
        <f>Q239*Resumo!$C$8</f>
        <v/>
      </c>
      <c r="T239" s="31">
        <f>S239-R239-O239</f>
        <v/>
      </c>
      <c r="U239" s="32">
        <f>IF(O239&gt;0,Q239/O239,0)</f>
        <v/>
      </c>
      <c r="V239" s="30">
        <f>IF(O239&gt;0,T239/O239,0)</f>
        <v/>
      </c>
    </row>
    <row r="240">
      <c r="A240" s="27" t="n">
        <v>239</v>
      </c>
      <c r="B240" s="28" t="inlineStr">
        <is>
          <t>M&amp;Zshop</t>
        </is>
      </c>
      <c r="C240" s="28" t="inlineStr">
        <is>
          <t>@mezshop1</t>
        </is>
      </c>
      <c r="D240" s="29" t="inlineStr">
        <is>
          <t>Nada enviado</t>
        </is>
      </c>
      <c r="E240" s="27" t="inlineStr">
        <is>
          <t>—</t>
        </is>
      </c>
      <c r="F240" s="27" t="inlineStr">
        <is>
          <t>—</t>
        </is>
      </c>
      <c r="G240" s="27" t="inlineStr">
        <is>
          <t>—</t>
        </is>
      </c>
      <c r="H240" s="27" t="n">
        <v>2</v>
      </c>
      <c r="I240" s="27" t="n">
        <v>0</v>
      </c>
      <c r="J240" s="27" t="n">
        <v>2</v>
      </c>
      <c r="K240" s="27" t="n">
        <v>2</v>
      </c>
      <c r="L240" s="30" t="n">
        <v>0.08</v>
      </c>
      <c r="M240" s="31">
        <f>I240*Resumo!$C$6</f>
        <v/>
      </c>
      <c r="N240" s="31">
        <f>IF(I240&gt;0,Resumo!$C$7,0)</f>
        <v/>
      </c>
      <c r="O240" s="31">
        <f>M240+N240</f>
        <v/>
      </c>
      <c r="P240" s="27" t="n">
        <v>0</v>
      </c>
      <c r="Q240" s="31" t="n">
        <v>0</v>
      </c>
      <c r="R240" s="31" t="n">
        <v>0</v>
      </c>
      <c r="S240" s="31">
        <f>Q240*Resumo!$C$8</f>
        <v/>
      </c>
      <c r="T240" s="31">
        <f>S240-R240-O240</f>
        <v/>
      </c>
      <c r="U240" s="32">
        <f>IF(O240&gt;0,Q240/O240,0)</f>
        <v/>
      </c>
      <c r="V240" s="30">
        <f>IF(O240&gt;0,T240/O240,0)</f>
        <v/>
      </c>
    </row>
    <row r="241">
      <c r="A241" s="27" t="n">
        <v>240</v>
      </c>
      <c r="B241" s="28" t="inlineStr">
        <is>
          <t>Michele🌸</t>
        </is>
      </c>
      <c r="C241" s="28" t="inlineStr">
        <is>
          <t>@michele_1234_</t>
        </is>
      </c>
      <c r="D241" s="29" t="inlineStr">
        <is>
          <t>Nada enviado</t>
        </is>
      </c>
      <c r="E241" s="27" t="inlineStr">
        <is>
          <t>—</t>
        </is>
      </c>
      <c r="F241" s="27" t="inlineStr">
        <is>
          <t>—</t>
        </is>
      </c>
      <c r="G241" s="27" t="inlineStr">
        <is>
          <t>—</t>
        </is>
      </c>
      <c r="H241" s="27" t="n">
        <v>1</v>
      </c>
      <c r="I241" s="27" t="n">
        <v>0</v>
      </c>
      <c r="J241" s="27" t="n">
        <v>1</v>
      </c>
      <c r="K241" s="27" t="n">
        <v>1</v>
      </c>
      <c r="L241" s="30" t="n">
        <v>0.08</v>
      </c>
      <c r="M241" s="31">
        <f>I241*Resumo!$C$6</f>
        <v/>
      </c>
      <c r="N241" s="31">
        <f>IF(I241&gt;0,Resumo!$C$7,0)</f>
        <v/>
      </c>
      <c r="O241" s="31">
        <f>M241+N241</f>
        <v/>
      </c>
      <c r="P241" s="27" t="n">
        <v>0</v>
      </c>
      <c r="Q241" s="31" t="n">
        <v>0</v>
      </c>
      <c r="R241" s="31" t="n">
        <v>0</v>
      </c>
      <c r="S241" s="31">
        <f>Q241*Resumo!$C$8</f>
        <v/>
      </c>
      <c r="T241" s="31">
        <f>S241-R241-O241</f>
        <v/>
      </c>
      <c r="U241" s="32">
        <f>IF(O241&gt;0,Q241/O241,0)</f>
        <v/>
      </c>
      <c r="V241" s="30">
        <f>IF(O241&gt;0,T241/O241,0)</f>
        <v/>
      </c>
    </row>
    <row r="242">
      <c r="A242" s="27" t="n">
        <v>241</v>
      </c>
      <c r="B242" s="28" t="inlineStr">
        <is>
          <t>Mirian | Achadinhos 🛍️</t>
        </is>
      </c>
      <c r="C242" s="28" t="inlineStr">
        <is>
          <t>@mirianmarquesp</t>
        </is>
      </c>
      <c r="D242" s="29" t="inlineStr">
        <is>
          <t>Nada enviado</t>
        </is>
      </c>
      <c r="E242" s="27" t="inlineStr">
        <is>
          <t>—</t>
        </is>
      </c>
      <c r="F242" s="27" t="inlineStr">
        <is>
          <t>—</t>
        </is>
      </c>
      <c r="G242" s="27" t="inlineStr">
        <is>
          <t>—</t>
        </is>
      </c>
      <c r="H242" s="27" t="n">
        <v>1</v>
      </c>
      <c r="I242" s="27" t="n">
        <v>0</v>
      </c>
      <c r="J242" s="27" t="n">
        <v>1</v>
      </c>
      <c r="K242" s="27" t="n">
        <v>1</v>
      </c>
      <c r="L242" s="30" t="n">
        <v>0.08</v>
      </c>
      <c r="M242" s="31">
        <f>I242*Resumo!$C$6</f>
        <v/>
      </c>
      <c r="N242" s="31">
        <f>IF(I242&gt;0,Resumo!$C$7,0)</f>
        <v/>
      </c>
      <c r="O242" s="31">
        <f>M242+N242</f>
        <v/>
      </c>
      <c r="P242" s="27" t="n">
        <v>0</v>
      </c>
      <c r="Q242" s="31" t="n">
        <v>0</v>
      </c>
      <c r="R242" s="31" t="n">
        <v>0</v>
      </c>
      <c r="S242" s="31">
        <f>Q242*Resumo!$C$8</f>
        <v/>
      </c>
      <c r="T242" s="31">
        <f>S242-R242-O242</f>
        <v/>
      </c>
      <c r="U242" s="32">
        <f>IF(O242&gt;0,Q242/O242,0)</f>
        <v/>
      </c>
      <c r="V242" s="30">
        <f>IF(O242&gt;0,T242/O242,0)</f>
        <v/>
      </c>
    </row>
    <row r="243">
      <c r="A243" s="27" t="n">
        <v>242</v>
      </c>
      <c r="B243" s="28" t="inlineStr">
        <is>
          <t>mitemporim.creator</t>
        </is>
      </c>
      <c r="C243" s="28" t="inlineStr">
        <is>
          <t>@mitemporim.creator</t>
        </is>
      </c>
      <c r="D243" s="29" t="inlineStr">
        <is>
          <t>Nada enviado</t>
        </is>
      </c>
      <c r="E243" s="27" t="inlineStr">
        <is>
          <t>—</t>
        </is>
      </c>
      <c r="F243" s="27" t="inlineStr">
        <is>
          <t>—</t>
        </is>
      </c>
      <c r="G243" s="27" t="inlineStr">
        <is>
          <t>—</t>
        </is>
      </c>
      <c r="H243" s="27" t="n">
        <v>1</v>
      </c>
      <c r="I243" s="27" t="n">
        <v>0</v>
      </c>
      <c r="J243" s="27" t="n">
        <v>1</v>
      </c>
      <c r="K243" s="27" t="n">
        <v>1</v>
      </c>
      <c r="L243" s="30" t="n">
        <v>0.08</v>
      </c>
      <c r="M243" s="31">
        <f>I243*Resumo!$C$6</f>
        <v/>
      </c>
      <c r="N243" s="31">
        <f>IF(I243&gt;0,Resumo!$C$7,0)</f>
        <v/>
      </c>
      <c r="O243" s="31">
        <f>M243+N243</f>
        <v/>
      </c>
      <c r="P243" s="27" t="n">
        <v>0</v>
      </c>
      <c r="Q243" s="31" t="n">
        <v>0</v>
      </c>
      <c r="R243" s="31" t="n">
        <v>0</v>
      </c>
      <c r="S243" s="31">
        <f>Q243*Resumo!$C$8</f>
        <v/>
      </c>
      <c r="T243" s="31">
        <f>S243-R243-O243</f>
        <v/>
      </c>
      <c r="U243" s="32">
        <f>IF(O243&gt;0,Q243/O243,0)</f>
        <v/>
      </c>
      <c r="V243" s="30">
        <f>IF(O243&gt;0,T243/O243,0)</f>
        <v/>
      </c>
    </row>
    <row r="244">
      <c r="A244" s="27" t="n">
        <v>243</v>
      </c>
      <c r="B244" s="28" t="inlineStr">
        <is>
          <t>Nega Burato</t>
        </is>
      </c>
      <c r="C244" s="28" t="inlineStr">
        <is>
          <t>@negaburato</t>
        </is>
      </c>
      <c r="D244" s="29" t="inlineStr">
        <is>
          <t>Nada enviado</t>
        </is>
      </c>
      <c r="E244" s="27" t="inlineStr">
        <is>
          <t>—</t>
        </is>
      </c>
      <c r="F244" s="27" t="inlineStr">
        <is>
          <t>—</t>
        </is>
      </c>
      <c r="G244" s="27" t="inlineStr">
        <is>
          <t>—</t>
        </is>
      </c>
      <c r="H244" s="27" t="n">
        <v>1</v>
      </c>
      <c r="I244" s="27" t="n">
        <v>0</v>
      </c>
      <c r="J244" s="27" t="n">
        <v>1</v>
      </c>
      <c r="K244" s="27" t="n">
        <v>1</v>
      </c>
      <c r="L244" s="30" t="n">
        <v>0.08</v>
      </c>
      <c r="M244" s="31">
        <f>I244*Resumo!$C$6</f>
        <v/>
      </c>
      <c r="N244" s="31">
        <f>IF(I244&gt;0,Resumo!$C$7,0)</f>
        <v/>
      </c>
      <c r="O244" s="31">
        <f>M244+N244</f>
        <v/>
      </c>
      <c r="P244" s="27" t="n">
        <v>0</v>
      </c>
      <c r="Q244" s="31" t="n">
        <v>0</v>
      </c>
      <c r="R244" s="31" t="n">
        <v>0</v>
      </c>
      <c r="S244" s="31">
        <f>Q244*Resumo!$C$8</f>
        <v/>
      </c>
      <c r="T244" s="31">
        <f>S244-R244-O244</f>
        <v/>
      </c>
      <c r="U244" s="32">
        <f>IF(O244&gt;0,Q244/O244,0)</f>
        <v/>
      </c>
      <c r="V244" s="30">
        <f>IF(O244&gt;0,T244/O244,0)</f>
        <v/>
      </c>
    </row>
    <row r="245">
      <c r="A245" s="27" t="n">
        <v>244</v>
      </c>
      <c r="B245" s="28" t="inlineStr">
        <is>
          <t>Pamela W. Kochan</t>
        </is>
      </c>
      <c r="C245" s="28" t="inlineStr">
        <is>
          <t>@pam.wk</t>
        </is>
      </c>
      <c r="D245" s="29" t="inlineStr">
        <is>
          <t>Nada enviado</t>
        </is>
      </c>
      <c r="E245" s="27" t="inlineStr">
        <is>
          <t>—</t>
        </is>
      </c>
      <c r="F245" s="27" t="inlineStr">
        <is>
          <t>—</t>
        </is>
      </c>
      <c r="G245" s="27" t="inlineStr">
        <is>
          <t>—</t>
        </is>
      </c>
      <c r="H245" s="27" t="n">
        <v>2</v>
      </c>
      <c r="I245" s="27" t="n">
        <v>0</v>
      </c>
      <c r="J245" s="27" t="n">
        <v>2</v>
      </c>
      <c r="K245" s="27" t="n">
        <v>1</v>
      </c>
      <c r="L245" s="30" t="n">
        <v>0.08</v>
      </c>
      <c r="M245" s="31">
        <f>I245*Resumo!$C$6</f>
        <v/>
      </c>
      <c r="N245" s="31">
        <f>IF(I245&gt;0,Resumo!$C$7,0)</f>
        <v/>
      </c>
      <c r="O245" s="31">
        <f>M245+N245</f>
        <v/>
      </c>
      <c r="P245" s="27" t="n">
        <v>0</v>
      </c>
      <c r="Q245" s="31" t="n">
        <v>0</v>
      </c>
      <c r="R245" s="31" t="n">
        <v>0</v>
      </c>
      <c r="S245" s="31">
        <f>Q245*Resumo!$C$8</f>
        <v/>
      </c>
      <c r="T245" s="31">
        <f>S245-R245-O245</f>
        <v/>
      </c>
      <c r="U245" s="32">
        <f>IF(O245&gt;0,Q245/O245,0)</f>
        <v/>
      </c>
      <c r="V245" s="30">
        <f>IF(O245&gt;0,T245/O245,0)</f>
        <v/>
      </c>
    </row>
    <row r="246">
      <c r="A246" s="27" t="n">
        <v>245</v>
      </c>
      <c r="B246" s="28" t="inlineStr">
        <is>
          <t>Paola Stella</t>
        </is>
      </c>
      <c r="C246" s="28" t="inlineStr">
        <is>
          <t>@paolastella.real</t>
        </is>
      </c>
      <c r="D246" s="29" t="inlineStr">
        <is>
          <t>Nada enviado</t>
        </is>
      </c>
      <c r="E246" s="27" t="inlineStr">
        <is>
          <t>—</t>
        </is>
      </c>
      <c r="F246" s="27" t="inlineStr">
        <is>
          <t>—</t>
        </is>
      </c>
      <c r="G246" s="27" t="inlineStr">
        <is>
          <t>—</t>
        </is>
      </c>
      <c r="H246" s="27" t="n">
        <v>1</v>
      </c>
      <c r="I246" s="27" t="n">
        <v>0</v>
      </c>
      <c r="J246" s="27" t="n">
        <v>1</v>
      </c>
      <c r="K246" s="27" t="n">
        <v>1</v>
      </c>
      <c r="L246" s="30" t="n">
        <v>0.08</v>
      </c>
      <c r="M246" s="31">
        <f>I246*Resumo!$C$6</f>
        <v/>
      </c>
      <c r="N246" s="31">
        <f>IF(I246&gt;0,Resumo!$C$7,0)</f>
        <v/>
      </c>
      <c r="O246" s="31">
        <f>M246+N246</f>
        <v/>
      </c>
      <c r="P246" s="27" t="n">
        <v>0</v>
      </c>
      <c r="Q246" s="31" t="n">
        <v>0</v>
      </c>
      <c r="R246" s="31" t="n">
        <v>0</v>
      </c>
      <c r="S246" s="31">
        <f>Q246*Resumo!$C$8</f>
        <v/>
      </c>
      <c r="T246" s="31">
        <f>S246-R246-O246</f>
        <v/>
      </c>
      <c r="U246" s="32">
        <f>IF(O246&gt;0,Q246/O246,0)</f>
        <v/>
      </c>
      <c r="V246" s="30">
        <f>IF(O246&gt;0,T246/O246,0)</f>
        <v/>
      </c>
    </row>
    <row r="247">
      <c r="A247" s="27" t="n">
        <v>246</v>
      </c>
      <c r="B247" s="28" t="inlineStr">
        <is>
          <t>Patty Lazzarotto</t>
        </is>
      </c>
      <c r="C247" s="28" t="inlineStr">
        <is>
          <t>@pattylazzarotto</t>
        </is>
      </c>
      <c r="D247" s="29" t="inlineStr">
        <is>
          <t>Nada enviado</t>
        </is>
      </c>
      <c r="E247" s="27" t="inlineStr">
        <is>
          <t>—</t>
        </is>
      </c>
      <c r="F247" s="27" t="inlineStr">
        <is>
          <t>—</t>
        </is>
      </c>
      <c r="G247" s="27" t="inlineStr">
        <is>
          <t>—</t>
        </is>
      </c>
      <c r="H247" s="27" t="n">
        <v>1</v>
      </c>
      <c r="I247" s="27" t="n">
        <v>0</v>
      </c>
      <c r="J247" s="27" t="n">
        <v>1</v>
      </c>
      <c r="K247" s="27" t="n">
        <v>1</v>
      </c>
      <c r="L247" s="30" t="n">
        <v>0.12</v>
      </c>
      <c r="M247" s="31">
        <f>I247*Resumo!$C$6</f>
        <v/>
      </c>
      <c r="N247" s="31">
        <f>IF(I247&gt;0,Resumo!$C$7,0)</f>
        <v/>
      </c>
      <c r="O247" s="31">
        <f>M247+N247</f>
        <v/>
      </c>
      <c r="P247" s="27" t="n">
        <v>0</v>
      </c>
      <c r="Q247" s="31" t="n">
        <v>0</v>
      </c>
      <c r="R247" s="31" t="n">
        <v>0</v>
      </c>
      <c r="S247" s="31">
        <f>Q247*Resumo!$C$8</f>
        <v/>
      </c>
      <c r="T247" s="31">
        <f>S247-R247-O247</f>
        <v/>
      </c>
      <c r="U247" s="32">
        <f>IF(O247&gt;0,Q247/O247,0)</f>
        <v/>
      </c>
      <c r="V247" s="30">
        <f>IF(O247&gt;0,T247/O247,0)</f>
        <v/>
      </c>
    </row>
    <row r="248">
      <c r="A248" s="27" t="n">
        <v>247</v>
      </c>
      <c r="B248" s="28" t="inlineStr">
        <is>
          <t>Paula Farias</t>
        </is>
      </c>
      <c r="C248" s="28" t="inlineStr">
        <is>
          <t>@paulafarias1414</t>
        </is>
      </c>
      <c r="D248" s="29" t="inlineStr">
        <is>
          <t>Nada enviado</t>
        </is>
      </c>
      <c r="E248" s="27" t="inlineStr">
        <is>
          <t>—</t>
        </is>
      </c>
      <c r="F248" s="27" t="inlineStr">
        <is>
          <t>—</t>
        </is>
      </c>
      <c r="G248" s="27" t="inlineStr">
        <is>
          <t>—</t>
        </is>
      </c>
      <c r="H248" s="27" t="n">
        <v>1</v>
      </c>
      <c r="I248" s="27" t="n">
        <v>0</v>
      </c>
      <c r="J248" s="27" t="n">
        <v>1</v>
      </c>
      <c r="K248" s="27" t="n">
        <v>1</v>
      </c>
      <c r="L248" s="30" t="n">
        <v>0.08</v>
      </c>
      <c r="M248" s="31">
        <f>I248*Resumo!$C$6</f>
        <v/>
      </c>
      <c r="N248" s="31">
        <f>IF(I248&gt;0,Resumo!$C$7,0)</f>
        <v/>
      </c>
      <c r="O248" s="31">
        <f>M248+N248</f>
        <v/>
      </c>
      <c r="P248" s="27" t="n">
        <v>0</v>
      </c>
      <c r="Q248" s="31" t="n">
        <v>0</v>
      </c>
      <c r="R248" s="31" t="n">
        <v>0</v>
      </c>
      <c r="S248" s="31">
        <f>Q248*Resumo!$C$8</f>
        <v/>
      </c>
      <c r="T248" s="31">
        <f>S248-R248-O248</f>
        <v/>
      </c>
      <c r="U248" s="32">
        <f>IF(O248&gt;0,Q248/O248,0)</f>
        <v/>
      </c>
      <c r="V248" s="30">
        <f>IF(O248&gt;0,T248/O248,0)</f>
        <v/>
      </c>
    </row>
    <row r="249">
      <c r="A249" s="27" t="n">
        <v>248</v>
      </c>
      <c r="B249" s="28" t="inlineStr">
        <is>
          <t>Duda | Shop Creator</t>
        </is>
      </c>
      <c r="C249" s="28" t="inlineStr">
        <is>
          <t>@pro.duda</t>
        </is>
      </c>
      <c r="D249" s="29" t="inlineStr">
        <is>
          <t>Nada enviado</t>
        </is>
      </c>
      <c r="E249" s="27" t="inlineStr">
        <is>
          <t>—</t>
        </is>
      </c>
      <c r="F249" s="27" t="inlineStr">
        <is>
          <t>—</t>
        </is>
      </c>
      <c r="G249" s="27" t="inlineStr">
        <is>
          <t>—</t>
        </is>
      </c>
      <c r="H249" s="27" t="n">
        <v>1</v>
      </c>
      <c r="I249" s="27" t="n">
        <v>0</v>
      </c>
      <c r="J249" s="27" t="n">
        <v>1</v>
      </c>
      <c r="K249" s="27" t="n">
        <v>1</v>
      </c>
      <c r="L249" s="30" t="n">
        <v>0.08</v>
      </c>
      <c r="M249" s="31">
        <f>I249*Resumo!$C$6</f>
        <v/>
      </c>
      <c r="N249" s="31">
        <f>IF(I249&gt;0,Resumo!$C$7,0)</f>
        <v/>
      </c>
      <c r="O249" s="31">
        <f>M249+N249</f>
        <v/>
      </c>
      <c r="P249" s="27" t="n">
        <v>0</v>
      </c>
      <c r="Q249" s="31" t="n">
        <v>0</v>
      </c>
      <c r="R249" s="31" t="n">
        <v>0</v>
      </c>
      <c r="S249" s="31">
        <f>Q249*Resumo!$C$8</f>
        <v/>
      </c>
      <c r="T249" s="31">
        <f>S249-R249-O249</f>
        <v/>
      </c>
      <c r="U249" s="32">
        <f>IF(O249&gt;0,Q249/O249,0)</f>
        <v/>
      </c>
      <c r="V249" s="30">
        <f>IF(O249&gt;0,T249/O249,0)</f>
        <v/>
      </c>
    </row>
    <row r="250">
      <c r="A250" s="27" t="n">
        <v>249</v>
      </c>
      <c r="B250" s="28" t="inlineStr">
        <is>
          <t>Rayane Silva</t>
        </is>
      </c>
      <c r="C250" s="28" t="inlineStr">
        <is>
          <t>@ray.indica74</t>
        </is>
      </c>
      <c r="D250" s="29" t="inlineStr">
        <is>
          <t>Nada enviado</t>
        </is>
      </c>
      <c r="E250" s="27" t="inlineStr">
        <is>
          <t>—</t>
        </is>
      </c>
      <c r="F250" s="27" t="inlineStr">
        <is>
          <t>—</t>
        </is>
      </c>
      <c r="G250" s="27" t="inlineStr">
        <is>
          <t>—</t>
        </is>
      </c>
      <c r="H250" s="27" t="n">
        <v>1</v>
      </c>
      <c r="I250" s="27" t="n">
        <v>0</v>
      </c>
      <c r="J250" s="27" t="n">
        <v>1</v>
      </c>
      <c r="K250" s="27" t="n">
        <v>1</v>
      </c>
      <c r="L250" s="30" t="n">
        <v>0.08</v>
      </c>
      <c r="M250" s="31">
        <f>I250*Resumo!$C$6</f>
        <v/>
      </c>
      <c r="N250" s="31">
        <f>IF(I250&gt;0,Resumo!$C$7,0)</f>
        <v/>
      </c>
      <c r="O250" s="31">
        <f>M250+N250</f>
        <v/>
      </c>
      <c r="P250" s="27" t="n">
        <v>0</v>
      </c>
      <c r="Q250" s="31" t="n">
        <v>0</v>
      </c>
      <c r="R250" s="31" t="n">
        <v>0</v>
      </c>
      <c r="S250" s="31">
        <f>Q250*Resumo!$C$8</f>
        <v/>
      </c>
      <c r="T250" s="31">
        <f>S250-R250-O250</f>
        <v/>
      </c>
      <c r="U250" s="32">
        <f>IF(O250&gt;0,Q250/O250,0)</f>
        <v/>
      </c>
      <c r="V250" s="30">
        <f>IF(O250&gt;0,T250/O250,0)</f>
        <v/>
      </c>
    </row>
    <row r="251">
      <c r="A251" s="27" t="n">
        <v>250</v>
      </c>
      <c r="B251" s="28" t="inlineStr">
        <is>
          <t>Rayane Christina</t>
        </is>
      </c>
      <c r="C251" s="28" t="inlineStr">
        <is>
          <t>@raychristtina</t>
        </is>
      </c>
      <c r="D251" s="29" t="inlineStr">
        <is>
          <t>Nada enviado</t>
        </is>
      </c>
      <c r="E251" s="27" t="inlineStr">
        <is>
          <t>—</t>
        </is>
      </c>
      <c r="F251" s="27" t="inlineStr">
        <is>
          <t>—</t>
        </is>
      </c>
      <c r="G251" s="27" t="inlineStr">
        <is>
          <t>—</t>
        </is>
      </c>
      <c r="H251" s="27" t="n">
        <v>1</v>
      </c>
      <c r="I251" s="27" t="n">
        <v>0</v>
      </c>
      <c r="J251" s="27" t="n">
        <v>1</v>
      </c>
      <c r="K251" s="27" t="n">
        <v>1</v>
      </c>
      <c r="L251" s="30" t="n">
        <v>0.08</v>
      </c>
      <c r="M251" s="31">
        <f>I251*Resumo!$C$6</f>
        <v/>
      </c>
      <c r="N251" s="31">
        <f>IF(I251&gt;0,Resumo!$C$7,0)</f>
        <v/>
      </c>
      <c r="O251" s="31">
        <f>M251+N251</f>
        <v/>
      </c>
      <c r="P251" s="27" t="n">
        <v>0</v>
      </c>
      <c r="Q251" s="31" t="n">
        <v>0</v>
      </c>
      <c r="R251" s="31" t="n">
        <v>0</v>
      </c>
      <c r="S251" s="31">
        <f>Q251*Resumo!$C$8</f>
        <v/>
      </c>
      <c r="T251" s="31">
        <f>S251-R251-O251</f>
        <v/>
      </c>
      <c r="U251" s="32">
        <f>IF(O251&gt;0,Q251/O251,0)</f>
        <v/>
      </c>
      <c r="V251" s="30">
        <f>IF(O251&gt;0,T251/O251,0)</f>
        <v/>
      </c>
    </row>
    <row r="252">
      <c r="A252" s="27" t="n">
        <v>251</v>
      </c>
      <c r="B252" s="28" t="inlineStr">
        <is>
          <t>Reh🎀</t>
        </is>
      </c>
      <c r="C252" s="28" t="inlineStr">
        <is>
          <t>@rehtrindadee</t>
        </is>
      </c>
      <c r="D252" s="29" t="inlineStr">
        <is>
          <t>Nada enviado</t>
        </is>
      </c>
      <c r="E252" s="27" t="inlineStr">
        <is>
          <t>—</t>
        </is>
      </c>
      <c r="F252" s="27" t="inlineStr">
        <is>
          <t>—</t>
        </is>
      </c>
      <c r="G252" s="27" t="inlineStr">
        <is>
          <t>—</t>
        </is>
      </c>
      <c r="H252" s="27" t="n">
        <v>1</v>
      </c>
      <c r="I252" s="27" t="n">
        <v>0</v>
      </c>
      <c r="J252" s="27" t="n">
        <v>1</v>
      </c>
      <c r="K252" s="27" t="n">
        <v>1</v>
      </c>
      <c r="L252" s="30" t="n">
        <v>0.08</v>
      </c>
      <c r="M252" s="31">
        <f>I252*Resumo!$C$6</f>
        <v/>
      </c>
      <c r="N252" s="31">
        <f>IF(I252&gt;0,Resumo!$C$7,0)</f>
        <v/>
      </c>
      <c r="O252" s="31">
        <f>M252+N252</f>
        <v/>
      </c>
      <c r="P252" s="27" t="n">
        <v>0</v>
      </c>
      <c r="Q252" s="31" t="n">
        <v>0</v>
      </c>
      <c r="R252" s="31" t="n">
        <v>0</v>
      </c>
      <c r="S252" s="31">
        <f>Q252*Resumo!$C$8</f>
        <v/>
      </c>
      <c r="T252" s="31">
        <f>S252-R252-O252</f>
        <v/>
      </c>
      <c r="U252" s="32">
        <f>IF(O252&gt;0,Q252/O252,0)</f>
        <v/>
      </c>
      <c r="V252" s="30">
        <f>IF(O252&gt;0,T252/O252,0)</f>
        <v/>
      </c>
    </row>
    <row r="253">
      <c r="A253" s="27" t="n">
        <v>252</v>
      </c>
      <c r="B253" s="28" t="inlineStr">
        <is>
          <t>Rosangela Nascimento</t>
        </is>
      </c>
      <c r="C253" s="28" t="inlineStr">
        <is>
          <t>@rosangelanascimen251</t>
        </is>
      </c>
      <c r="D253" s="29" t="inlineStr">
        <is>
          <t>Nada enviado</t>
        </is>
      </c>
      <c r="E253" s="27" t="inlineStr">
        <is>
          <t>—</t>
        </is>
      </c>
      <c r="F253" s="27" t="inlineStr">
        <is>
          <t>—</t>
        </is>
      </c>
      <c r="G253" s="27" t="inlineStr">
        <is>
          <t>—</t>
        </is>
      </c>
      <c r="H253" s="27" t="n">
        <v>1</v>
      </c>
      <c r="I253" s="27" t="n">
        <v>0</v>
      </c>
      <c r="J253" s="27" t="n">
        <v>1</v>
      </c>
      <c r="K253" s="27" t="n">
        <v>1</v>
      </c>
      <c r="L253" s="30" t="n">
        <v>0.08</v>
      </c>
      <c r="M253" s="31">
        <f>I253*Resumo!$C$6</f>
        <v/>
      </c>
      <c r="N253" s="31">
        <f>IF(I253&gt;0,Resumo!$C$7,0)</f>
        <v/>
      </c>
      <c r="O253" s="31">
        <f>M253+N253</f>
        <v/>
      </c>
      <c r="P253" s="27" t="n">
        <v>0</v>
      </c>
      <c r="Q253" s="31" t="n">
        <v>0</v>
      </c>
      <c r="R253" s="31" t="n">
        <v>0</v>
      </c>
      <c r="S253" s="31">
        <f>Q253*Resumo!$C$8</f>
        <v/>
      </c>
      <c r="T253" s="31">
        <f>S253-R253-O253</f>
        <v/>
      </c>
      <c r="U253" s="32">
        <f>IF(O253&gt;0,Q253/O253,0)</f>
        <v/>
      </c>
      <c r="V253" s="30">
        <f>IF(O253&gt;0,T253/O253,0)</f>
        <v/>
      </c>
    </row>
    <row r="254">
      <c r="A254" s="27" t="n">
        <v>253</v>
      </c>
      <c r="B254" s="28" t="inlineStr">
        <is>
          <t>Sabryna</t>
        </is>
      </c>
      <c r="C254" s="28" t="inlineStr">
        <is>
          <t>@sabrydaily</t>
        </is>
      </c>
      <c r="D254" s="29" t="inlineStr">
        <is>
          <t>Nada enviado</t>
        </is>
      </c>
      <c r="E254" s="27" t="inlineStr">
        <is>
          <t>—</t>
        </is>
      </c>
      <c r="F254" s="27" t="inlineStr">
        <is>
          <t>—</t>
        </is>
      </c>
      <c r="G254" s="27" t="inlineStr">
        <is>
          <t>—</t>
        </is>
      </c>
      <c r="H254" s="27" t="n">
        <v>1</v>
      </c>
      <c r="I254" s="27" t="n">
        <v>0</v>
      </c>
      <c r="J254" s="27" t="n">
        <v>1</v>
      </c>
      <c r="K254" s="27" t="n">
        <v>1</v>
      </c>
      <c r="L254" s="30" t="n">
        <v>0.08</v>
      </c>
      <c r="M254" s="31">
        <f>I254*Resumo!$C$6</f>
        <v/>
      </c>
      <c r="N254" s="31">
        <f>IF(I254&gt;0,Resumo!$C$7,0)</f>
        <v/>
      </c>
      <c r="O254" s="31">
        <f>M254+N254</f>
        <v/>
      </c>
      <c r="P254" s="27" t="n">
        <v>0</v>
      </c>
      <c r="Q254" s="31" t="n">
        <v>0</v>
      </c>
      <c r="R254" s="31" t="n">
        <v>0</v>
      </c>
      <c r="S254" s="31">
        <f>Q254*Resumo!$C$8</f>
        <v/>
      </c>
      <c r="T254" s="31">
        <f>S254-R254-O254</f>
        <v/>
      </c>
      <c r="U254" s="32">
        <f>IF(O254&gt;0,Q254/O254,0)</f>
        <v/>
      </c>
      <c r="V254" s="30">
        <f>IF(O254&gt;0,T254/O254,0)</f>
        <v/>
      </c>
    </row>
    <row r="255">
      <c r="A255" s="27" t="n">
        <v>254</v>
      </c>
      <c r="B255" s="28" t="inlineStr">
        <is>
          <t>Samara Costa</t>
        </is>
      </c>
      <c r="C255" s="28" t="inlineStr">
        <is>
          <t>@samaracostashop</t>
        </is>
      </c>
      <c r="D255" s="29" t="inlineStr">
        <is>
          <t>Nada enviado</t>
        </is>
      </c>
      <c r="E255" s="27" t="inlineStr">
        <is>
          <t>—</t>
        </is>
      </c>
      <c r="F255" s="27" t="inlineStr">
        <is>
          <t>—</t>
        </is>
      </c>
      <c r="G255" s="27" t="inlineStr">
        <is>
          <t>—</t>
        </is>
      </c>
      <c r="H255" s="27" t="n">
        <v>1</v>
      </c>
      <c r="I255" s="27" t="n">
        <v>0</v>
      </c>
      <c r="J255" s="27" t="n">
        <v>1</v>
      </c>
      <c r="K255" s="27" t="n">
        <v>1</v>
      </c>
      <c r="L255" s="30" t="n">
        <v>0.08</v>
      </c>
      <c r="M255" s="31">
        <f>I255*Resumo!$C$6</f>
        <v/>
      </c>
      <c r="N255" s="31">
        <f>IF(I255&gt;0,Resumo!$C$7,0)</f>
        <v/>
      </c>
      <c r="O255" s="31">
        <f>M255+N255</f>
        <v/>
      </c>
      <c r="P255" s="27" t="n">
        <v>0</v>
      </c>
      <c r="Q255" s="31" t="n">
        <v>0</v>
      </c>
      <c r="R255" s="31" t="n">
        <v>0</v>
      </c>
      <c r="S255" s="31">
        <f>Q255*Resumo!$C$8</f>
        <v/>
      </c>
      <c r="T255" s="31">
        <f>S255-R255-O255</f>
        <v/>
      </c>
      <c r="U255" s="32">
        <f>IF(O255&gt;0,Q255/O255,0)</f>
        <v/>
      </c>
      <c r="V255" s="30">
        <f>IF(O255&gt;0,T255/O255,0)</f>
        <v/>
      </c>
    </row>
    <row r="256">
      <c r="A256" s="27" t="n">
        <v>255</v>
      </c>
      <c r="B256" s="28" t="inlineStr">
        <is>
          <t>Samira Souza</t>
        </is>
      </c>
      <c r="C256" s="28" t="inlineStr">
        <is>
          <t>@samiraasouza7</t>
        </is>
      </c>
      <c r="D256" s="29" t="inlineStr">
        <is>
          <t>Nada enviado</t>
        </is>
      </c>
      <c r="E256" s="27" t="inlineStr">
        <is>
          <t>—</t>
        </is>
      </c>
      <c r="F256" s="27" t="inlineStr">
        <is>
          <t>—</t>
        </is>
      </c>
      <c r="G256" s="27" t="inlineStr">
        <is>
          <t>—</t>
        </is>
      </c>
      <c r="H256" s="27" t="n">
        <v>1</v>
      </c>
      <c r="I256" s="27" t="n">
        <v>0</v>
      </c>
      <c r="J256" s="27" t="n">
        <v>1</v>
      </c>
      <c r="K256" s="27" t="n">
        <v>1</v>
      </c>
      <c r="L256" s="30" t="n">
        <v>0.08</v>
      </c>
      <c r="M256" s="31">
        <f>I256*Resumo!$C$6</f>
        <v/>
      </c>
      <c r="N256" s="31">
        <f>IF(I256&gt;0,Resumo!$C$7,0)</f>
        <v/>
      </c>
      <c r="O256" s="31">
        <f>M256+N256</f>
        <v/>
      </c>
      <c r="P256" s="27" t="n">
        <v>0</v>
      </c>
      <c r="Q256" s="31" t="n">
        <v>0</v>
      </c>
      <c r="R256" s="31" t="n">
        <v>0</v>
      </c>
      <c r="S256" s="31">
        <f>Q256*Resumo!$C$8</f>
        <v/>
      </c>
      <c r="T256" s="31">
        <f>S256-R256-O256</f>
        <v/>
      </c>
      <c r="U256" s="32">
        <f>IF(O256&gt;0,Q256/O256,0)</f>
        <v/>
      </c>
      <c r="V256" s="30">
        <f>IF(O256&gt;0,T256/O256,0)</f>
        <v/>
      </c>
    </row>
    <row r="257">
      <c r="A257" s="27" t="n">
        <v>256</v>
      </c>
      <c r="B257" s="28" t="inlineStr">
        <is>
          <t>Samy+2</t>
        </is>
      </c>
      <c r="C257" s="28" t="inlineStr">
        <is>
          <t>@samyf21</t>
        </is>
      </c>
      <c r="D257" s="29" t="inlineStr">
        <is>
          <t>Nada enviado</t>
        </is>
      </c>
      <c r="E257" s="27" t="inlineStr">
        <is>
          <t>—</t>
        </is>
      </c>
      <c r="F257" s="27" t="inlineStr">
        <is>
          <t>—</t>
        </is>
      </c>
      <c r="G257" s="27" t="inlineStr">
        <is>
          <t>—</t>
        </is>
      </c>
      <c r="H257" s="27" t="n">
        <v>2</v>
      </c>
      <c r="I257" s="27" t="n">
        <v>0</v>
      </c>
      <c r="J257" s="27" t="n">
        <v>2</v>
      </c>
      <c r="K257" s="27" t="n">
        <v>1</v>
      </c>
      <c r="L257" s="30" t="n">
        <v>0.08</v>
      </c>
      <c r="M257" s="31">
        <f>I257*Resumo!$C$6</f>
        <v/>
      </c>
      <c r="N257" s="31">
        <f>IF(I257&gt;0,Resumo!$C$7,0)</f>
        <v/>
      </c>
      <c r="O257" s="31">
        <f>M257+N257</f>
        <v/>
      </c>
      <c r="P257" s="27" t="n">
        <v>0</v>
      </c>
      <c r="Q257" s="31" t="n">
        <v>0</v>
      </c>
      <c r="R257" s="31" t="n">
        <v>0</v>
      </c>
      <c r="S257" s="31">
        <f>Q257*Resumo!$C$8</f>
        <v/>
      </c>
      <c r="T257" s="31">
        <f>S257-R257-O257</f>
        <v/>
      </c>
      <c r="U257" s="32">
        <f>IF(O257&gt;0,Q257/O257,0)</f>
        <v/>
      </c>
      <c r="V257" s="30">
        <f>IF(O257&gt;0,T257/O257,0)</f>
        <v/>
      </c>
    </row>
    <row r="258">
      <c r="A258" s="27" t="n">
        <v>257</v>
      </c>
      <c r="B258" s="28" t="inlineStr">
        <is>
          <t>Sandy Cris / UGC CREATOR</t>
        </is>
      </c>
      <c r="C258" s="28" t="inlineStr">
        <is>
          <t>@sandycrisugc</t>
        </is>
      </c>
      <c r="D258" s="29" t="inlineStr">
        <is>
          <t>Nada enviado</t>
        </is>
      </c>
      <c r="E258" s="27" t="inlineStr">
        <is>
          <t>—</t>
        </is>
      </c>
      <c r="F258" s="27" t="inlineStr">
        <is>
          <t>—</t>
        </is>
      </c>
      <c r="G258" s="27" t="inlineStr">
        <is>
          <t>—</t>
        </is>
      </c>
      <c r="H258" s="27" t="n">
        <v>1</v>
      </c>
      <c r="I258" s="27" t="n">
        <v>0</v>
      </c>
      <c r="J258" s="27" t="n">
        <v>1</v>
      </c>
      <c r="K258" s="27" t="n">
        <v>1</v>
      </c>
      <c r="L258" s="30" t="n">
        <v>0.08</v>
      </c>
      <c r="M258" s="31">
        <f>I258*Resumo!$C$6</f>
        <v/>
      </c>
      <c r="N258" s="31">
        <f>IF(I258&gt;0,Resumo!$C$7,0)</f>
        <v/>
      </c>
      <c r="O258" s="31">
        <f>M258+N258</f>
        <v/>
      </c>
      <c r="P258" s="27" t="n">
        <v>0</v>
      </c>
      <c r="Q258" s="31" t="n">
        <v>0</v>
      </c>
      <c r="R258" s="31" t="n">
        <v>0</v>
      </c>
      <c r="S258" s="31">
        <f>Q258*Resumo!$C$8</f>
        <v/>
      </c>
      <c r="T258" s="31">
        <f>S258-R258-O258</f>
        <v/>
      </c>
      <c r="U258" s="32">
        <f>IF(O258&gt;0,Q258/O258,0)</f>
        <v/>
      </c>
      <c r="V258" s="30">
        <f>IF(O258&gt;0,T258/O258,0)</f>
        <v/>
      </c>
    </row>
    <row r="259">
      <c r="A259" s="27" t="n">
        <v>258</v>
      </c>
      <c r="B259" s="28" t="inlineStr">
        <is>
          <t>Jessica</t>
        </is>
      </c>
      <c r="C259" s="28" t="inlineStr">
        <is>
          <t>@santosjes</t>
        </is>
      </c>
      <c r="D259" s="29" t="inlineStr">
        <is>
          <t>Nada enviado</t>
        </is>
      </c>
      <c r="E259" s="27" t="inlineStr">
        <is>
          <t>—</t>
        </is>
      </c>
      <c r="F259" s="27" t="inlineStr">
        <is>
          <t>—</t>
        </is>
      </c>
      <c r="G259" s="27" t="inlineStr">
        <is>
          <t>—</t>
        </is>
      </c>
      <c r="H259" s="27" t="n">
        <v>1</v>
      </c>
      <c r="I259" s="27" t="n">
        <v>0</v>
      </c>
      <c r="J259" s="27" t="n">
        <v>1</v>
      </c>
      <c r="K259" s="27" t="n">
        <v>1</v>
      </c>
      <c r="L259" s="30" t="n">
        <v>0.08</v>
      </c>
      <c r="M259" s="31">
        <f>I259*Resumo!$C$6</f>
        <v/>
      </c>
      <c r="N259" s="31">
        <f>IF(I259&gt;0,Resumo!$C$7,0)</f>
        <v/>
      </c>
      <c r="O259" s="31">
        <f>M259+N259</f>
        <v/>
      </c>
      <c r="P259" s="27" t="n">
        <v>0</v>
      </c>
      <c r="Q259" s="31" t="n">
        <v>0</v>
      </c>
      <c r="R259" s="31" t="n">
        <v>0</v>
      </c>
      <c r="S259" s="31">
        <f>Q259*Resumo!$C$8</f>
        <v/>
      </c>
      <c r="T259" s="31">
        <f>S259-R259-O259</f>
        <v/>
      </c>
      <c r="U259" s="32">
        <f>IF(O259&gt;0,Q259/O259,0)</f>
        <v/>
      </c>
      <c r="V259" s="30">
        <f>IF(O259&gt;0,T259/O259,0)</f>
        <v/>
      </c>
    </row>
    <row r="260">
      <c r="A260" s="27" t="n">
        <v>259</v>
      </c>
      <c r="B260" s="28" t="inlineStr">
        <is>
          <t>Vitrine da Sá 💖</t>
        </is>
      </c>
      <c r="C260" s="28" t="inlineStr">
        <is>
          <t>@sashopoficial</t>
        </is>
      </c>
      <c r="D260" s="29" t="inlineStr">
        <is>
          <t>Nada enviado</t>
        </is>
      </c>
      <c r="E260" s="27" t="inlineStr">
        <is>
          <t>—</t>
        </is>
      </c>
      <c r="F260" s="27" t="inlineStr">
        <is>
          <t>—</t>
        </is>
      </c>
      <c r="G260" s="27" t="inlineStr">
        <is>
          <t>—</t>
        </is>
      </c>
      <c r="H260" s="27" t="n">
        <v>1</v>
      </c>
      <c r="I260" s="27" t="n">
        <v>0</v>
      </c>
      <c r="J260" s="27" t="n">
        <v>1</v>
      </c>
      <c r="K260" s="27" t="n">
        <v>1</v>
      </c>
      <c r="L260" s="30" t="n">
        <v>0.08</v>
      </c>
      <c r="M260" s="31">
        <f>I260*Resumo!$C$6</f>
        <v/>
      </c>
      <c r="N260" s="31">
        <f>IF(I260&gt;0,Resumo!$C$7,0)</f>
        <v/>
      </c>
      <c r="O260" s="31">
        <f>M260+N260</f>
        <v/>
      </c>
      <c r="P260" s="27" t="n">
        <v>0</v>
      </c>
      <c r="Q260" s="31" t="n">
        <v>0</v>
      </c>
      <c r="R260" s="31" t="n">
        <v>0</v>
      </c>
      <c r="S260" s="31">
        <f>Q260*Resumo!$C$8</f>
        <v/>
      </c>
      <c r="T260" s="31">
        <f>S260-R260-O260</f>
        <v/>
      </c>
      <c r="U260" s="32">
        <f>IF(O260&gt;0,Q260/O260,0)</f>
        <v/>
      </c>
      <c r="V260" s="30">
        <f>IF(O260&gt;0,T260/O260,0)</f>
        <v/>
      </c>
    </row>
    <row r="261">
      <c r="A261" s="27" t="n">
        <v>260</v>
      </c>
      <c r="B261" s="28" t="inlineStr">
        <is>
          <t>Segredos Naturais</t>
        </is>
      </c>
      <c r="C261" s="28" t="inlineStr">
        <is>
          <t>@segredosnatureza</t>
        </is>
      </c>
      <c r="D261" s="29" t="inlineStr">
        <is>
          <t>Nada enviado</t>
        </is>
      </c>
      <c r="E261" s="27" t="inlineStr">
        <is>
          <t>—</t>
        </is>
      </c>
      <c r="F261" s="27" t="inlineStr">
        <is>
          <t>—</t>
        </is>
      </c>
      <c r="G261" s="27" t="inlineStr">
        <is>
          <t>—</t>
        </is>
      </c>
      <c r="H261" s="27" t="n">
        <v>1</v>
      </c>
      <c r="I261" s="27" t="n">
        <v>0</v>
      </c>
      <c r="J261" s="27" t="n">
        <v>1</v>
      </c>
      <c r="K261" s="27" t="n">
        <v>1</v>
      </c>
      <c r="L261" s="30" t="n">
        <v>0.08</v>
      </c>
      <c r="M261" s="31">
        <f>I261*Resumo!$C$6</f>
        <v/>
      </c>
      <c r="N261" s="31">
        <f>IF(I261&gt;0,Resumo!$C$7,0)</f>
        <v/>
      </c>
      <c r="O261" s="31">
        <f>M261+N261</f>
        <v/>
      </c>
      <c r="P261" s="27" t="n">
        <v>0</v>
      </c>
      <c r="Q261" s="31" t="n">
        <v>0</v>
      </c>
      <c r="R261" s="31" t="n">
        <v>0</v>
      </c>
      <c r="S261" s="31">
        <f>Q261*Resumo!$C$8</f>
        <v/>
      </c>
      <c r="T261" s="31">
        <f>S261-R261-O261</f>
        <v/>
      </c>
      <c r="U261" s="32">
        <f>IF(O261&gt;0,Q261/O261,0)</f>
        <v/>
      </c>
      <c r="V261" s="30">
        <f>IF(O261&gt;0,T261/O261,0)</f>
        <v/>
      </c>
    </row>
    <row r="262">
      <c r="A262" s="27" t="n">
        <v>261</v>
      </c>
      <c r="B262" s="28" t="inlineStr">
        <is>
          <t>Silmara A.</t>
        </is>
      </c>
      <c r="C262" s="28" t="inlineStr">
        <is>
          <t>@silmara_tiktok</t>
        </is>
      </c>
      <c r="D262" s="29" t="inlineStr">
        <is>
          <t>Nada enviado</t>
        </is>
      </c>
      <c r="E262" s="27" t="inlineStr">
        <is>
          <t>—</t>
        </is>
      </c>
      <c r="F262" s="27" t="inlineStr">
        <is>
          <t>—</t>
        </is>
      </c>
      <c r="G262" s="27" t="inlineStr">
        <is>
          <t>—</t>
        </is>
      </c>
      <c r="H262" s="27" t="n">
        <v>1</v>
      </c>
      <c r="I262" s="27" t="n">
        <v>0</v>
      </c>
      <c r="J262" s="27" t="n">
        <v>1</v>
      </c>
      <c r="K262" s="27" t="n">
        <v>1</v>
      </c>
      <c r="L262" s="30" t="n">
        <v>0.08</v>
      </c>
      <c r="M262" s="31">
        <f>I262*Resumo!$C$6</f>
        <v/>
      </c>
      <c r="N262" s="31">
        <f>IF(I262&gt;0,Resumo!$C$7,0)</f>
        <v/>
      </c>
      <c r="O262" s="31">
        <f>M262+N262</f>
        <v/>
      </c>
      <c r="P262" s="27" t="n">
        <v>0</v>
      </c>
      <c r="Q262" s="31" t="n">
        <v>0</v>
      </c>
      <c r="R262" s="31" t="n">
        <v>0</v>
      </c>
      <c r="S262" s="31">
        <f>Q262*Resumo!$C$8</f>
        <v/>
      </c>
      <c r="T262" s="31">
        <f>S262-R262-O262</f>
        <v/>
      </c>
      <c r="U262" s="32">
        <f>IF(O262&gt;0,Q262/O262,0)</f>
        <v/>
      </c>
      <c r="V262" s="30">
        <f>IF(O262&gt;0,T262/O262,0)</f>
        <v/>
      </c>
    </row>
    <row r="263">
      <c r="A263" s="27" t="n">
        <v>262</v>
      </c>
      <c r="B263" s="28" t="inlineStr">
        <is>
          <t>Sill Cabral</t>
        </is>
      </c>
      <c r="C263" s="28" t="inlineStr">
        <is>
          <t>@silviafreitas187</t>
        </is>
      </c>
      <c r="D263" s="29" t="inlineStr">
        <is>
          <t>Nada enviado</t>
        </is>
      </c>
      <c r="E263" s="27" t="inlineStr">
        <is>
          <t>—</t>
        </is>
      </c>
      <c r="F263" s="27" t="inlineStr">
        <is>
          <t>—</t>
        </is>
      </c>
      <c r="G263" s="27" t="inlineStr">
        <is>
          <t>—</t>
        </is>
      </c>
      <c r="H263" s="27" t="n">
        <v>1</v>
      </c>
      <c r="I263" s="27" t="n">
        <v>0</v>
      </c>
      <c r="J263" s="27" t="n">
        <v>1</v>
      </c>
      <c r="K263" s="27" t="n">
        <v>1</v>
      </c>
      <c r="L263" s="30" t="n">
        <v>0.08</v>
      </c>
      <c r="M263" s="31">
        <f>I263*Resumo!$C$6</f>
        <v/>
      </c>
      <c r="N263" s="31">
        <f>IF(I263&gt;0,Resumo!$C$7,0)</f>
        <v/>
      </c>
      <c r="O263" s="31">
        <f>M263+N263</f>
        <v/>
      </c>
      <c r="P263" s="27" t="n">
        <v>0</v>
      </c>
      <c r="Q263" s="31" t="n">
        <v>0</v>
      </c>
      <c r="R263" s="31" t="n">
        <v>0</v>
      </c>
      <c r="S263" s="31">
        <f>Q263*Resumo!$C$8</f>
        <v/>
      </c>
      <c r="T263" s="31">
        <f>S263-R263-O263</f>
        <v/>
      </c>
      <c r="U263" s="32">
        <f>IF(O263&gt;0,Q263/O263,0)</f>
        <v/>
      </c>
      <c r="V263" s="30">
        <f>IF(O263&gt;0,T263/O263,0)</f>
        <v/>
      </c>
    </row>
    <row r="264">
      <c r="A264" s="27" t="n">
        <v>263</v>
      </c>
      <c r="B264" s="28" t="inlineStr">
        <is>
          <t>Blehh</t>
        </is>
      </c>
      <c r="C264" s="28" t="inlineStr">
        <is>
          <t>@someoneduda</t>
        </is>
      </c>
      <c r="D264" s="29" t="inlineStr">
        <is>
          <t>Nada enviado</t>
        </is>
      </c>
      <c r="E264" s="27" t="inlineStr">
        <is>
          <t>—</t>
        </is>
      </c>
      <c r="F264" s="27" t="inlineStr">
        <is>
          <t>—</t>
        </is>
      </c>
      <c r="G264" s="27" t="inlineStr">
        <is>
          <t>—</t>
        </is>
      </c>
      <c r="H264" s="27" t="n">
        <v>2</v>
      </c>
      <c r="I264" s="27" t="n">
        <v>0</v>
      </c>
      <c r="J264" s="27" t="n">
        <v>2</v>
      </c>
      <c r="K264" s="27" t="n">
        <v>2</v>
      </c>
      <c r="L264" s="30" t="n">
        <v>0.08</v>
      </c>
      <c r="M264" s="31">
        <f>I264*Resumo!$C$6</f>
        <v/>
      </c>
      <c r="N264" s="31">
        <f>IF(I264&gt;0,Resumo!$C$7,0)</f>
        <v/>
      </c>
      <c r="O264" s="31">
        <f>M264+N264</f>
        <v/>
      </c>
      <c r="P264" s="27" t="n">
        <v>0</v>
      </c>
      <c r="Q264" s="31" t="n">
        <v>0</v>
      </c>
      <c r="R264" s="31" t="n">
        <v>0</v>
      </c>
      <c r="S264" s="31">
        <f>Q264*Resumo!$C$8</f>
        <v/>
      </c>
      <c r="T264" s="31">
        <f>S264-R264-O264</f>
        <v/>
      </c>
      <c r="U264" s="32">
        <f>IF(O264&gt;0,Q264/O264,0)</f>
        <v/>
      </c>
      <c r="V264" s="30">
        <f>IF(O264&gt;0,T264/O264,0)</f>
        <v/>
      </c>
    </row>
    <row r="265">
      <c r="A265" s="27" t="n">
        <v>264</v>
      </c>
      <c r="B265" s="28" t="inlineStr">
        <is>
          <t>Károle Damasceno</t>
        </is>
      </c>
      <c r="C265" s="28" t="inlineStr">
        <is>
          <t>@soukarole</t>
        </is>
      </c>
      <c r="D265" s="29" t="inlineStr">
        <is>
          <t>Nada enviado</t>
        </is>
      </c>
      <c r="E265" s="27" t="inlineStr">
        <is>
          <t>—</t>
        </is>
      </c>
      <c r="F265" s="27" t="inlineStr">
        <is>
          <t>—</t>
        </is>
      </c>
      <c r="G265" s="27" t="inlineStr">
        <is>
          <t>—</t>
        </is>
      </c>
      <c r="H265" s="27" t="n">
        <v>2</v>
      </c>
      <c r="I265" s="27" t="n">
        <v>0</v>
      </c>
      <c r="J265" s="27" t="n">
        <v>2</v>
      </c>
      <c r="K265" s="27" t="n">
        <v>1</v>
      </c>
      <c r="L265" s="30" t="n">
        <v>0.08</v>
      </c>
      <c r="M265" s="31">
        <f>I265*Resumo!$C$6</f>
        <v/>
      </c>
      <c r="N265" s="31">
        <f>IF(I265&gt;0,Resumo!$C$7,0)</f>
        <v/>
      </c>
      <c r="O265" s="31">
        <f>M265+N265</f>
        <v/>
      </c>
      <c r="P265" s="27" t="n">
        <v>0</v>
      </c>
      <c r="Q265" s="31" t="n">
        <v>0</v>
      </c>
      <c r="R265" s="31" t="n">
        <v>0</v>
      </c>
      <c r="S265" s="31">
        <f>Q265*Resumo!$C$8</f>
        <v/>
      </c>
      <c r="T265" s="31">
        <f>S265-R265-O265</f>
        <v/>
      </c>
      <c r="U265" s="32">
        <f>IF(O265&gt;0,Q265/O265,0)</f>
        <v/>
      </c>
      <c r="V265" s="30">
        <f>IF(O265&gt;0,T265/O265,0)</f>
        <v/>
      </c>
    </row>
    <row r="266">
      <c r="A266" s="27" t="n">
        <v>265</v>
      </c>
      <c r="B266" s="28" t="inlineStr">
        <is>
          <t>Sy ⭐️</t>
        </is>
      </c>
      <c r="C266" s="28" t="inlineStr">
        <is>
          <t>@syanjos</t>
        </is>
      </c>
      <c r="D266" s="29" t="inlineStr">
        <is>
          <t>Nada enviado</t>
        </is>
      </c>
      <c r="E266" s="27" t="inlineStr">
        <is>
          <t>—</t>
        </is>
      </c>
      <c r="F266" s="27" t="inlineStr">
        <is>
          <t>—</t>
        </is>
      </c>
      <c r="G266" s="27" t="inlineStr">
        <is>
          <t>—</t>
        </is>
      </c>
      <c r="H266" s="27" t="n">
        <v>1</v>
      </c>
      <c r="I266" s="27" t="n">
        <v>0</v>
      </c>
      <c r="J266" s="27" t="n">
        <v>1</v>
      </c>
      <c r="K266" s="27" t="n">
        <v>1</v>
      </c>
      <c r="L266" s="30" t="n">
        <v>0.08</v>
      </c>
      <c r="M266" s="31">
        <f>I266*Resumo!$C$6</f>
        <v/>
      </c>
      <c r="N266" s="31">
        <f>IF(I266&gt;0,Resumo!$C$7,0)</f>
        <v/>
      </c>
      <c r="O266" s="31">
        <f>M266+N266</f>
        <v/>
      </c>
      <c r="P266" s="27" t="n">
        <v>0</v>
      </c>
      <c r="Q266" s="31" t="n">
        <v>0</v>
      </c>
      <c r="R266" s="31" t="n">
        <v>0</v>
      </c>
      <c r="S266" s="31">
        <f>Q266*Resumo!$C$8</f>
        <v/>
      </c>
      <c r="T266" s="31">
        <f>S266-R266-O266</f>
        <v/>
      </c>
      <c r="U266" s="32">
        <f>IF(O266&gt;0,Q266/O266,0)</f>
        <v/>
      </c>
      <c r="V266" s="30">
        <f>IF(O266&gt;0,T266/O266,0)</f>
        <v/>
      </c>
    </row>
    <row r="267">
      <c r="A267" s="27" t="n">
        <v>266</v>
      </c>
      <c r="B267" s="28" t="inlineStr">
        <is>
          <t>Tais | Shop</t>
        </is>
      </c>
      <c r="C267" s="28" t="inlineStr">
        <is>
          <t>@taisrizzardi</t>
        </is>
      </c>
      <c r="D267" s="29" t="inlineStr">
        <is>
          <t>Nada enviado</t>
        </is>
      </c>
      <c r="E267" s="27" t="inlineStr">
        <is>
          <t>—</t>
        </is>
      </c>
      <c r="F267" s="27" t="inlineStr">
        <is>
          <t>—</t>
        </is>
      </c>
      <c r="G267" s="27" t="inlineStr">
        <is>
          <t>—</t>
        </is>
      </c>
      <c r="H267" s="27" t="n">
        <v>1</v>
      </c>
      <c r="I267" s="27" t="n">
        <v>0</v>
      </c>
      <c r="J267" s="27" t="n">
        <v>1</v>
      </c>
      <c r="K267" s="27" t="n">
        <v>1</v>
      </c>
      <c r="L267" s="30" t="n">
        <v>0.08</v>
      </c>
      <c r="M267" s="31">
        <f>I267*Resumo!$C$6</f>
        <v/>
      </c>
      <c r="N267" s="31">
        <f>IF(I267&gt;0,Resumo!$C$7,0)</f>
        <v/>
      </c>
      <c r="O267" s="31">
        <f>M267+N267</f>
        <v/>
      </c>
      <c r="P267" s="27" t="n">
        <v>0</v>
      </c>
      <c r="Q267" s="31" t="n">
        <v>0</v>
      </c>
      <c r="R267" s="31" t="n">
        <v>0</v>
      </c>
      <c r="S267" s="31">
        <f>Q267*Resumo!$C$8</f>
        <v/>
      </c>
      <c r="T267" s="31">
        <f>S267-R267-O267</f>
        <v/>
      </c>
      <c r="U267" s="32">
        <f>IF(O267&gt;0,Q267/O267,0)</f>
        <v/>
      </c>
      <c r="V267" s="30">
        <f>IF(O267&gt;0,T267/O267,0)</f>
        <v/>
      </c>
    </row>
    <row r="268">
      <c r="A268" s="27" t="n">
        <v>267</v>
      </c>
      <c r="B268" s="28" t="inlineStr">
        <is>
          <t>Talita.camilo</t>
        </is>
      </c>
      <c r="C268" s="28" t="inlineStr">
        <is>
          <t>@talitalcamilo</t>
        </is>
      </c>
      <c r="D268" s="29" t="inlineStr">
        <is>
          <t>Nada enviado</t>
        </is>
      </c>
      <c r="E268" s="27" t="inlineStr">
        <is>
          <t>—</t>
        </is>
      </c>
      <c r="F268" s="27" t="inlineStr">
        <is>
          <t>—</t>
        </is>
      </c>
      <c r="G268" s="27" t="inlineStr">
        <is>
          <t>—</t>
        </is>
      </c>
      <c r="H268" s="27" t="n">
        <v>1</v>
      </c>
      <c r="I268" s="27" t="n">
        <v>0</v>
      </c>
      <c r="J268" s="27" t="n">
        <v>1</v>
      </c>
      <c r="K268" s="27" t="n">
        <v>1</v>
      </c>
      <c r="L268" s="30" t="n">
        <v>0.08</v>
      </c>
      <c r="M268" s="31">
        <f>I268*Resumo!$C$6</f>
        <v/>
      </c>
      <c r="N268" s="31">
        <f>IF(I268&gt;0,Resumo!$C$7,0)</f>
        <v/>
      </c>
      <c r="O268" s="31">
        <f>M268+N268</f>
        <v/>
      </c>
      <c r="P268" s="27" t="n">
        <v>0</v>
      </c>
      <c r="Q268" s="31" t="n">
        <v>0</v>
      </c>
      <c r="R268" s="31" t="n">
        <v>0</v>
      </c>
      <c r="S268" s="31">
        <f>Q268*Resumo!$C$8</f>
        <v/>
      </c>
      <c r="T268" s="31">
        <f>S268-R268-O268</f>
        <v/>
      </c>
      <c r="U268" s="32">
        <f>IF(O268&gt;0,Q268/O268,0)</f>
        <v/>
      </c>
      <c r="V268" s="30">
        <f>IF(O268&gt;0,T268/O268,0)</f>
        <v/>
      </c>
    </row>
    <row r="269">
      <c r="A269" s="27" t="n">
        <v>268</v>
      </c>
      <c r="B269" s="28" t="inlineStr">
        <is>
          <t>Tatiane Moraes</t>
        </is>
      </c>
      <c r="C269" s="28" t="inlineStr">
        <is>
          <t>@tatianemoraes_makeup</t>
        </is>
      </c>
      <c r="D269" s="29" t="inlineStr">
        <is>
          <t>Nada enviado</t>
        </is>
      </c>
      <c r="E269" s="27" t="inlineStr">
        <is>
          <t>—</t>
        </is>
      </c>
      <c r="F269" s="27" t="inlineStr">
        <is>
          <t>—</t>
        </is>
      </c>
      <c r="G269" s="27" t="inlineStr">
        <is>
          <t>—</t>
        </is>
      </c>
      <c r="H269" s="27" t="n">
        <v>1</v>
      </c>
      <c r="I269" s="27" t="n">
        <v>0</v>
      </c>
      <c r="J269" s="27" t="n">
        <v>1</v>
      </c>
      <c r="K269" s="27" t="n">
        <v>1</v>
      </c>
      <c r="L269" s="30" t="n">
        <v>0.08</v>
      </c>
      <c r="M269" s="31">
        <f>I269*Resumo!$C$6</f>
        <v/>
      </c>
      <c r="N269" s="31">
        <f>IF(I269&gt;0,Resumo!$C$7,0)</f>
        <v/>
      </c>
      <c r="O269" s="31">
        <f>M269+N269</f>
        <v/>
      </c>
      <c r="P269" s="27" t="n">
        <v>0</v>
      </c>
      <c r="Q269" s="31" t="n">
        <v>0</v>
      </c>
      <c r="R269" s="31" t="n">
        <v>0</v>
      </c>
      <c r="S269" s="31">
        <f>Q269*Resumo!$C$8</f>
        <v/>
      </c>
      <c r="T269" s="31">
        <f>S269-R269-O269</f>
        <v/>
      </c>
      <c r="U269" s="32">
        <f>IF(O269&gt;0,Q269/O269,0)</f>
        <v/>
      </c>
      <c r="V269" s="30">
        <f>IF(O269&gt;0,T269/O269,0)</f>
        <v/>
      </c>
    </row>
    <row r="270">
      <c r="A270" s="27" t="n">
        <v>269</v>
      </c>
      <c r="B270" s="28" t="inlineStr">
        <is>
          <t>Thaischoffmann</t>
        </is>
      </c>
      <c r="C270" s="28" t="inlineStr">
        <is>
          <t>@thaischoffmann</t>
        </is>
      </c>
      <c r="D270" s="29" t="inlineStr">
        <is>
          <t>Nada enviado</t>
        </is>
      </c>
      <c r="E270" s="27" t="inlineStr">
        <is>
          <t>—</t>
        </is>
      </c>
      <c r="F270" s="27" t="inlineStr">
        <is>
          <t>—</t>
        </is>
      </c>
      <c r="G270" s="27" t="inlineStr">
        <is>
          <t>—</t>
        </is>
      </c>
      <c r="H270" s="27" t="n">
        <v>1</v>
      </c>
      <c r="I270" s="27" t="n">
        <v>0</v>
      </c>
      <c r="J270" s="27" t="n">
        <v>1</v>
      </c>
      <c r="K270" s="27" t="n">
        <v>1</v>
      </c>
      <c r="L270" s="30" t="n">
        <v>0.08</v>
      </c>
      <c r="M270" s="31">
        <f>I270*Resumo!$C$6</f>
        <v/>
      </c>
      <c r="N270" s="31">
        <f>IF(I270&gt;0,Resumo!$C$7,0)</f>
        <v/>
      </c>
      <c r="O270" s="31">
        <f>M270+N270</f>
        <v/>
      </c>
      <c r="P270" s="27" t="n">
        <v>0</v>
      </c>
      <c r="Q270" s="31" t="n">
        <v>0</v>
      </c>
      <c r="R270" s="31" t="n">
        <v>0</v>
      </c>
      <c r="S270" s="31">
        <f>Q270*Resumo!$C$8</f>
        <v/>
      </c>
      <c r="T270" s="31">
        <f>S270-R270-O270</f>
        <v/>
      </c>
      <c r="U270" s="32">
        <f>IF(O270&gt;0,Q270/O270,0)</f>
        <v/>
      </c>
      <c r="V270" s="30">
        <f>IF(O270&gt;0,T270/O270,0)</f>
        <v/>
      </c>
    </row>
    <row r="271">
      <c r="A271" s="27" t="n">
        <v>270</v>
      </c>
      <c r="B271" s="28" t="inlineStr">
        <is>
          <t>Thalyta Ribeiro</t>
        </is>
      </c>
      <c r="C271" s="28" t="inlineStr">
        <is>
          <t>@thalytaribeiro</t>
        </is>
      </c>
      <c r="D271" s="29" t="inlineStr">
        <is>
          <t>Nada enviado</t>
        </is>
      </c>
      <c r="E271" s="27" t="inlineStr">
        <is>
          <t>—</t>
        </is>
      </c>
      <c r="F271" s="27" t="inlineStr">
        <is>
          <t>—</t>
        </is>
      </c>
      <c r="G271" s="27" t="inlineStr">
        <is>
          <t>—</t>
        </is>
      </c>
      <c r="H271" s="27" t="n">
        <v>1</v>
      </c>
      <c r="I271" s="27" t="n">
        <v>0</v>
      </c>
      <c r="J271" s="27" t="n">
        <v>1</v>
      </c>
      <c r="K271" s="27" t="n">
        <v>1</v>
      </c>
      <c r="L271" s="30" t="n">
        <v>0.08</v>
      </c>
      <c r="M271" s="31">
        <f>I271*Resumo!$C$6</f>
        <v/>
      </c>
      <c r="N271" s="31">
        <f>IF(I271&gt;0,Resumo!$C$7,0)</f>
        <v/>
      </c>
      <c r="O271" s="31">
        <f>M271+N271</f>
        <v/>
      </c>
      <c r="P271" s="27" t="n">
        <v>0</v>
      </c>
      <c r="Q271" s="31" t="n">
        <v>0</v>
      </c>
      <c r="R271" s="31" t="n">
        <v>0</v>
      </c>
      <c r="S271" s="31">
        <f>Q271*Resumo!$C$8</f>
        <v/>
      </c>
      <c r="T271" s="31">
        <f>S271-R271-O271</f>
        <v/>
      </c>
      <c r="U271" s="32">
        <f>IF(O271&gt;0,Q271/O271,0)</f>
        <v/>
      </c>
      <c r="V271" s="30">
        <f>IF(O271&gt;0,T271/O271,0)</f>
        <v/>
      </c>
    </row>
    <row r="272">
      <c r="A272" s="27" t="n">
        <v>271</v>
      </c>
      <c r="B272" s="28" t="inlineStr">
        <is>
          <t>Vitrineviral</t>
        </is>
      </c>
      <c r="C272" s="28" t="inlineStr">
        <is>
          <t>@vitrineviral812</t>
        </is>
      </c>
      <c r="D272" s="29" t="inlineStr">
        <is>
          <t>Nada enviado</t>
        </is>
      </c>
      <c r="E272" s="27" t="inlineStr">
        <is>
          <t>—</t>
        </is>
      </c>
      <c r="F272" s="27" t="inlineStr">
        <is>
          <t>—</t>
        </is>
      </c>
      <c r="G272" s="27" t="inlineStr">
        <is>
          <t>—</t>
        </is>
      </c>
      <c r="H272" s="27" t="n">
        <v>1</v>
      </c>
      <c r="I272" s="27" t="n">
        <v>0</v>
      </c>
      <c r="J272" s="27" t="n">
        <v>1</v>
      </c>
      <c r="K272" s="27" t="n">
        <v>1</v>
      </c>
      <c r="L272" s="30" t="n">
        <v>0.08</v>
      </c>
      <c r="M272" s="31">
        <f>I272*Resumo!$C$6</f>
        <v/>
      </c>
      <c r="N272" s="31">
        <f>IF(I272&gt;0,Resumo!$C$7,0)</f>
        <v/>
      </c>
      <c r="O272" s="31">
        <f>M272+N272</f>
        <v/>
      </c>
      <c r="P272" s="27" t="n">
        <v>0</v>
      </c>
      <c r="Q272" s="31" t="n">
        <v>0</v>
      </c>
      <c r="R272" s="31" t="n">
        <v>0</v>
      </c>
      <c r="S272" s="31">
        <f>Q272*Resumo!$C$8</f>
        <v/>
      </c>
      <c r="T272" s="31">
        <f>S272-R272-O272</f>
        <v/>
      </c>
      <c r="U272" s="32">
        <f>IF(O272&gt;0,Q272/O272,0)</f>
        <v/>
      </c>
      <c r="V272" s="30">
        <f>IF(O272&gt;0,T272/O272,0)</f>
        <v/>
      </c>
    </row>
    <row r="273">
      <c r="A273" s="27" t="n">
        <v>272</v>
      </c>
      <c r="B273" s="28" t="inlineStr">
        <is>
          <t>Welina</t>
        </is>
      </c>
      <c r="C273" s="28" t="inlineStr">
        <is>
          <t>@welinashop</t>
        </is>
      </c>
      <c r="D273" s="29" t="inlineStr">
        <is>
          <t>Nada enviado</t>
        </is>
      </c>
      <c r="E273" s="27" t="inlineStr">
        <is>
          <t>—</t>
        </is>
      </c>
      <c r="F273" s="27" t="inlineStr">
        <is>
          <t>—</t>
        </is>
      </c>
      <c r="G273" s="27" t="inlineStr">
        <is>
          <t>—</t>
        </is>
      </c>
      <c r="H273" s="27" t="n">
        <v>1</v>
      </c>
      <c r="I273" s="27" t="n">
        <v>0</v>
      </c>
      <c r="J273" s="27" t="n">
        <v>1</v>
      </c>
      <c r="K273" s="27" t="n">
        <v>1</v>
      </c>
      <c r="L273" s="30" t="n">
        <v>0.08</v>
      </c>
      <c r="M273" s="31">
        <f>I273*Resumo!$C$6</f>
        <v/>
      </c>
      <c r="N273" s="31">
        <f>IF(I273&gt;0,Resumo!$C$7,0)</f>
        <v/>
      </c>
      <c r="O273" s="31">
        <f>M273+N273</f>
        <v/>
      </c>
      <c r="P273" s="27" t="n">
        <v>0</v>
      </c>
      <c r="Q273" s="31" t="n">
        <v>0</v>
      </c>
      <c r="R273" s="31" t="n">
        <v>0</v>
      </c>
      <c r="S273" s="31">
        <f>Q273*Resumo!$C$8</f>
        <v/>
      </c>
      <c r="T273" s="31">
        <f>S273-R273-O273</f>
        <v/>
      </c>
      <c r="U273" s="32">
        <f>IF(O273&gt;0,Q273/O273,0)</f>
        <v/>
      </c>
      <c r="V273" s="30">
        <f>IF(O273&gt;0,T273/O273,0)</f>
        <v/>
      </c>
    </row>
    <row r="274">
      <c r="D274" s="33" t="inlineStr">
        <is>
          <t>TOTAL (filtrado)</t>
        </is>
      </c>
      <c r="H274" s="34">
        <f>SUBTOTAL(109,H2:H273)</f>
        <v/>
      </c>
      <c r="I274" s="34">
        <f>SUBTOTAL(109,I2:I273)</f>
        <v/>
      </c>
      <c r="J274" s="34">
        <f>SUBTOTAL(109,J2:J273)</f>
        <v/>
      </c>
      <c r="O274" s="35">
        <f>SUBTOTAL(109,O2:O273)</f>
        <v/>
      </c>
      <c r="P274" s="34">
        <f>SUBTOTAL(109,P2:P273)</f>
        <v/>
      </c>
      <c r="Q274" s="35">
        <f>SUBTOTAL(109,Q2:Q273)</f>
        <v/>
      </c>
      <c r="R274" s="35">
        <f>SUBTOTAL(109,R2:R273)</f>
        <v/>
      </c>
      <c r="S274" s="35">
        <f>SUBTOTAL(109,S2:S273)</f>
        <v/>
      </c>
      <c r="T274" s="35">
        <f>SUBTOTAL(109,T2:T273)</f>
        <v/>
      </c>
      <c r="U274" s="36">
        <f>IF(O274&gt;0,Q274/O274,0)</f>
        <v/>
      </c>
      <c r="V274" s="37">
        <f>IF(O274&gt;0,T274/O274,0)</f>
        <v/>
      </c>
    </row>
  </sheetData>
  <autoFilter ref="A1:V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4" customWidth="1" min="5" max="5"/>
    <col width="16" customWidth="1" min="6" max="6"/>
    <col width="14" customWidth="1" min="7" max="7"/>
    <col width="14" customWidth="1" min="8" max="8"/>
    <col width="9" customWidth="1" min="9" max="9"/>
    <col width="9" customWidth="1" min="10" max="10"/>
  </cols>
  <sheetData>
    <row r="1" ht="28" customHeight="1">
      <c r="A1" s="14" t="inlineStr">
        <is>
          <t>Mês</t>
        </is>
      </c>
      <c r="B1" s="14" t="inlineStr">
        <is>
          <t>Creators (convites)</t>
        </is>
      </c>
      <c r="C1" s="14" t="inlineStr">
        <is>
          <t>Peças enviadas</t>
        </is>
      </c>
      <c r="D1" s="14" t="inlineStr">
        <is>
          <t>Peças canceladas</t>
        </is>
      </c>
      <c r="E1" s="14" t="inlineStr">
        <is>
          <t>Custo seeding (R$)</t>
        </is>
      </c>
      <c r="F1" s="14" t="inlineStr">
        <is>
          <t>GMV atribuído (R$)</t>
        </is>
      </c>
      <c r="G1" s="14" t="inlineStr">
        <is>
          <t>Comissão paga (R$)</t>
        </is>
      </c>
      <c r="H1" s="14" t="inlineStr">
        <is>
          <t>Lucro líquido (R$)</t>
        </is>
      </c>
      <c r="I1" s="14" t="inlineStr">
        <is>
          <t>ROAS</t>
        </is>
      </c>
      <c r="J1" s="14" t="inlineStr">
        <is>
          <t>ROI</t>
        </is>
      </c>
    </row>
    <row r="2">
      <c r="A2" s="38" t="inlineStr">
        <is>
          <t>2025-06</t>
        </is>
      </c>
      <c r="B2" s="38">
        <f>COUNTIF('ROI por creator'!E2:E273,$A2)</f>
        <v/>
      </c>
      <c r="C2" s="38">
        <f>SUMIF('ROI por creator'!E2:E273,$A2,'ROI por creator'!I2:I273)</f>
        <v/>
      </c>
      <c r="D2" s="38">
        <f>SUMIF('ROI por creator'!E2:E273,$A2,'ROI por creator'!J2:J273)</f>
        <v/>
      </c>
      <c r="E2" s="39">
        <f>SUMIF('ROI por creator'!E2:E273,$A2,'ROI por creator'!O2:O273)</f>
        <v/>
      </c>
      <c r="F2" s="39">
        <f>SUMIF('ROI por creator'!E2:E273,$A2,'ROI por creator'!Q2:Q273)</f>
        <v/>
      </c>
      <c r="G2" s="39">
        <f>SUMIF('ROI por creator'!E2:E273,$A2,'ROI por creator'!R2:R273)</f>
        <v/>
      </c>
      <c r="H2" s="39">
        <f>SUMIF('ROI por creator'!E2:E273,$A2,'ROI por creator'!T2:T273)</f>
        <v/>
      </c>
      <c r="I2" s="40">
        <f>IF(E2&gt;0,F2/E2,0)</f>
        <v/>
      </c>
      <c r="J2" s="41">
        <f>IF(E2&gt;0,H2/E2,0)</f>
        <v/>
      </c>
    </row>
    <row r="3">
      <c r="A3" s="42" t="inlineStr">
        <is>
          <t>2025-07</t>
        </is>
      </c>
      <c r="B3" s="42">
        <f>COUNTIF('ROI por creator'!E2:E273,$A3)</f>
        <v/>
      </c>
      <c r="C3" s="42">
        <f>SUMIF('ROI por creator'!E2:E273,$A3,'ROI por creator'!I2:I273)</f>
        <v/>
      </c>
      <c r="D3" s="42">
        <f>SUMIF('ROI por creator'!E2:E273,$A3,'ROI por creator'!J2:J273)</f>
        <v/>
      </c>
      <c r="E3" s="43">
        <f>SUMIF('ROI por creator'!E2:E273,$A3,'ROI por creator'!O2:O273)</f>
        <v/>
      </c>
      <c r="F3" s="43">
        <f>SUMIF('ROI por creator'!E2:E273,$A3,'ROI por creator'!Q2:Q273)</f>
        <v/>
      </c>
      <c r="G3" s="43">
        <f>SUMIF('ROI por creator'!E2:E273,$A3,'ROI por creator'!R2:R273)</f>
        <v/>
      </c>
      <c r="H3" s="43">
        <f>SUMIF('ROI por creator'!E2:E273,$A3,'ROI por creator'!T2:T273)</f>
        <v/>
      </c>
      <c r="I3" s="44">
        <f>IF(E3&gt;0,F3/E3,0)</f>
        <v/>
      </c>
      <c r="J3" s="45">
        <f>IF(E3&gt;0,H3/E3,0)</f>
        <v/>
      </c>
    </row>
    <row r="4">
      <c r="A4" s="38" t="inlineStr">
        <is>
          <t>2025-08</t>
        </is>
      </c>
      <c r="B4" s="38">
        <f>COUNTIF('ROI por creator'!E2:E273,$A4)</f>
        <v/>
      </c>
      <c r="C4" s="38">
        <f>SUMIF('ROI por creator'!E2:E273,$A4,'ROI por creator'!I2:I273)</f>
        <v/>
      </c>
      <c r="D4" s="38">
        <f>SUMIF('ROI por creator'!E2:E273,$A4,'ROI por creator'!J2:J273)</f>
        <v/>
      </c>
      <c r="E4" s="39">
        <f>SUMIF('ROI por creator'!E2:E273,$A4,'ROI por creator'!O2:O273)</f>
        <v/>
      </c>
      <c r="F4" s="39">
        <f>SUMIF('ROI por creator'!E2:E273,$A4,'ROI por creator'!Q2:Q273)</f>
        <v/>
      </c>
      <c r="G4" s="39">
        <f>SUMIF('ROI por creator'!E2:E273,$A4,'ROI por creator'!R2:R273)</f>
        <v/>
      </c>
      <c r="H4" s="39">
        <f>SUMIF('ROI por creator'!E2:E273,$A4,'ROI por creator'!T2:T273)</f>
        <v/>
      </c>
      <c r="I4" s="40">
        <f>IF(E4&gt;0,F4/E4,0)</f>
        <v/>
      </c>
      <c r="J4" s="41">
        <f>IF(E4&gt;0,H4/E4,0)</f>
        <v/>
      </c>
    </row>
    <row r="5">
      <c r="A5" s="42" t="inlineStr">
        <is>
          <t>2025-09</t>
        </is>
      </c>
      <c r="B5" s="42">
        <f>COUNTIF('ROI por creator'!E2:E273,$A5)</f>
        <v/>
      </c>
      <c r="C5" s="42">
        <f>SUMIF('ROI por creator'!E2:E273,$A5,'ROI por creator'!I2:I273)</f>
        <v/>
      </c>
      <c r="D5" s="42">
        <f>SUMIF('ROI por creator'!E2:E273,$A5,'ROI por creator'!J2:J273)</f>
        <v/>
      </c>
      <c r="E5" s="43">
        <f>SUMIF('ROI por creator'!E2:E273,$A5,'ROI por creator'!O2:O273)</f>
        <v/>
      </c>
      <c r="F5" s="43">
        <f>SUMIF('ROI por creator'!E2:E273,$A5,'ROI por creator'!Q2:Q273)</f>
        <v/>
      </c>
      <c r="G5" s="43">
        <f>SUMIF('ROI por creator'!E2:E273,$A5,'ROI por creator'!R2:R273)</f>
        <v/>
      </c>
      <c r="H5" s="43">
        <f>SUMIF('ROI por creator'!E2:E273,$A5,'ROI por creator'!T2:T273)</f>
        <v/>
      </c>
      <c r="I5" s="44">
        <f>IF(E5&gt;0,F5/E5,0)</f>
        <v/>
      </c>
      <c r="J5" s="45">
        <f>IF(E5&gt;0,H5/E5,0)</f>
        <v/>
      </c>
    </row>
    <row r="6">
      <c r="A6" s="38" t="inlineStr">
        <is>
          <t>2025-10</t>
        </is>
      </c>
      <c r="B6" s="38">
        <f>COUNTIF('ROI por creator'!E2:E273,$A6)</f>
        <v/>
      </c>
      <c r="C6" s="38">
        <f>SUMIF('ROI por creator'!E2:E273,$A6,'ROI por creator'!I2:I273)</f>
        <v/>
      </c>
      <c r="D6" s="38">
        <f>SUMIF('ROI por creator'!E2:E273,$A6,'ROI por creator'!J2:J273)</f>
        <v/>
      </c>
      <c r="E6" s="39">
        <f>SUMIF('ROI por creator'!E2:E273,$A6,'ROI por creator'!O2:O273)</f>
        <v/>
      </c>
      <c r="F6" s="39">
        <f>SUMIF('ROI por creator'!E2:E273,$A6,'ROI por creator'!Q2:Q273)</f>
        <v/>
      </c>
      <c r="G6" s="39">
        <f>SUMIF('ROI por creator'!E2:E273,$A6,'ROI por creator'!R2:R273)</f>
        <v/>
      </c>
      <c r="H6" s="39">
        <f>SUMIF('ROI por creator'!E2:E273,$A6,'ROI por creator'!T2:T273)</f>
        <v/>
      </c>
      <c r="I6" s="40">
        <f>IF(E6&gt;0,F6/E6,0)</f>
        <v/>
      </c>
      <c r="J6" s="41">
        <f>IF(E6&gt;0,H6/E6,0)</f>
        <v/>
      </c>
    </row>
    <row r="7">
      <c r="A7" s="42" t="inlineStr">
        <is>
          <t>2025-11</t>
        </is>
      </c>
      <c r="B7" s="42">
        <f>COUNTIF('ROI por creator'!E2:E273,$A7)</f>
        <v/>
      </c>
      <c r="C7" s="42">
        <f>SUMIF('ROI por creator'!E2:E273,$A7,'ROI por creator'!I2:I273)</f>
        <v/>
      </c>
      <c r="D7" s="42">
        <f>SUMIF('ROI por creator'!E2:E273,$A7,'ROI por creator'!J2:J273)</f>
        <v/>
      </c>
      <c r="E7" s="43">
        <f>SUMIF('ROI por creator'!E2:E273,$A7,'ROI por creator'!O2:O273)</f>
        <v/>
      </c>
      <c r="F7" s="43">
        <f>SUMIF('ROI por creator'!E2:E273,$A7,'ROI por creator'!Q2:Q273)</f>
        <v/>
      </c>
      <c r="G7" s="43">
        <f>SUMIF('ROI por creator'!E2:E273,$A7,'ROI por creator'!R2:R273)</f>
        <v/>
      </c>
      <c r="H7" s="43">
        <f>SUMIF('ROI por creator'!E2:E273,$A7,'ROI por creator'!T2:T273)</f>
        <v/>
      </c>
      <c r="I7" s="44">
        <f>IF(E7&gt;0,F7/E7,0)</f>
        <v/>
      </c>
      <c r="J7" s="45">
        <f>IF(E7&gt;0,H7/E7,0)</f>
        <v/>
      </c>
    </row>
    <row r="8">
      <c r="A8" s="38" t="inlineStr">
        <is>
          <t>2025-12</t>
        </is>
      </c>
      <c r="B8" s="38">
        <f>COUNTIF('ROI por creator'!E2:E273,$A8)</f>
        <v/>
      </c>
      <c r="C8" s="38">
        <f>SUMIF('ROI por creator'!E2:E273,$A8,'ROI por creator'!I2:I273)</f>
        <v/>
      </c>
      <c r="D8" s="38">
        <f>SUMIF('ROI por creator'!E2:E273,$A8,'ROI por creator'!J2:J273)</f>
        <v/>
      </c>
      <c r="E8" s="39">
        <f>SUMIF('ROI por creator'!E2:E273,$A8,'ROI por creator'!O2:O273)</f>
        <v/>
      </c>
      <c r="F8" s="39">
        <f>SUMIF('ROI por creator'!E2:E273,$A8,'ROI por creator'!Q2:Q273)</f>
        <v/>
      </c>
      <c r="G8" s="39">
        <f>SUMIF('ROI por creator'!E2:E273,$A8,'ROI por creator'!R2:R273)</f>
        <v/>
      </c>
      <c r="H8" s="39">
        <f>SUMIF('ROI por creator'!E2:E273,$A8,'ROI por creator'!T2:T273)</f>
        <v/>
      </c>
      <c r="I8" s="40">
        <f>IF(E8&gt;0,F8/E8,0)</f>
        <v/>
      </c>
      <c r="J8" s="41">
        <f>IF(E8&gt;0,H8/E8,0)</f>
        <v/>
      </c>
    </row>
    <row r="9">
      <c r="A9" s="42" t="inlineStr">
        <is>
          <t>2026-01</t>
        </is>
      </c>
      <c r="B9" s="42">
        <f>COUNTIF('ROI por creator'!E2:E273,$A9)</f>
        <v/>
      </c>
      <c r="C9" s="42">
        <f>SUMIF('ROI por creator'!E2:E273,$A9,'ROI por creator'!I2:I273)</f>
        <v/>
      </c>
      <c r="D9" s="42">
        <f>SUMIF('ROI por creator'!E2:E273,$A9,'ROI por creator'!J2:J273)</f>
        <v/>
      </c>
      <c r="E9" s="43">
        <f>SUMIF('ROI por creator'!E2:E273,$A9,'ROI por creator'!O2:O273)</f>
        <v/>
      </c>
      <c r="F9" s="43">
        <f>SUMIF('ROI por creator'!E2:E273,$A9,'ROI por creator'!Q2:Q273)</f>
        <v/>
      </c>
      <c r="G9" s="43">
        <f>SUMIF('ROI por creator'!E2:E273,$A9,'ROI por creator'!R2:R273)</f>
        <v/>
      </c>
      <c r="H9" s="43">
        <f>SUMIF('ROI por creator'!E2:E273,$A9,'ROI por creator'!T2:T273)</f>
        <v/>
      </c>
      <c r="I9" s="44">
        <f>IF(E9&gt;0,F9/E9,0)</f>
        <v/>
      </c>
      <c r="J9" s="45">
        <f>IF(E9&gt;0,H9/E9,0)</f>
        <v/>
      </c>
    </row>
    <row r="10">
      <c r="A10" s="38" t="inlineStr">
        <is>
          <t>2026-02</t>
        </is>
      </c>
      <c r="B10" s="38">
        <f>COUNTIF('ROI por creator'!E2:E273,$A10)</f>
        <v/>
      </c>
      <c r="C10" s="38">
        <f>SUMIF('ROI por creator'!E2:E273,$A10,'ROI por creator'!I2:I273)</f>
        <v/>
      </c>
      <c r="D10" s="38">
        <f>SUMIF('ROI por creator'!E2:E273,$A10,'ROI por creator'!J2:J273)</f>
        <v/>
      </c>
      <c r="E10" s="39">
        <f>SUMIF('ROI por creator'!E2:E273,$A10,'ROI por creator'!O2:O273)</f>
        <v/>
      </c>
      <c r="F10" s="39">
        <f>SUMIF('ROI por creator'!E2:E273,$A10,'ROI por creator'!Q2:Q273)</f>
        <v/>
      </c>
      <c r="G10" s="39">
        <f>SUMIF('ROI por creator'!E2:E273,$A10,'ROI por creator'!R2:R273)</f>
        <v/>
      </c>
      <c r="H10" s="39">
        <f>SUMIF('ROI por creator'!E2:E273,$A10,'ROI por creator'!T2:T273)</f>
        <v/>
      </c>
      <c r="I10" s="40">
        <f>IF(E10&gt;0,F10/E10,0)</f>
        <v/>
      </c>
      <c r="J10" s="41">
        <f>IF(E10&gt;0,H10/E10,0)</f>
        <v/>
      </c>
    </row>
    <row r="11">
      <c r="A11" s="42" t="inlineStr">
        <is>
          <t>2026-03</t>
        </is>
      </c>
      <c r="B11" s="42">
        <f>COUNTIF('ROI por creator'!E2:E273,$A11)</f>
        <v/>
      </c>
      <c r="C11" s="42">
        <f>SUMIF('ROI por creator'!E2:E273,$A11,'ROI por creator'!I2:I273)</f>
        <v/>
      </c>
      <c r="D11" s="42">
        <f>SUMIF('ROI por creator'!E2:E273,$A11,'ROI por creator'!J2:J273)</f>
        <v/>
      </c>
      <c r="E11" s="43">
        <f>SUMIF('ROI por creator'!E2:E273,$A11,'ROI por creator'!O2:O273)</f>
        <v/>
      </c>
      <c r="F11" s="43">
        <f>SUMIF('ROI por creator'!E2:E273,$A11,'ROI por creator'!Q2:Q273)</f>
        <v/>
      </c>
      <c r="G11" s="43">
        <f>SUMIF('ROI por creator'!E2:E273,$A11,'ROI por creator'!R2:R273)</f>
        <v/>
      </c>
      <c r="H11" s="43">
        <f>SUMIF('ROI por creator'!E2:E273,$A11,'ROI por creator'!T2:T273)</f>
        <v/>
      </c>
      <c r="I11" s="44">
        <f>IF(E11&gt;0,F11/E11,0)</f>
        <v/>
      </c>
      <c r="J11" s="45">
        <f>IF(E11&gt;0,H11/E11,0)</f>
        <v/>
      </c>
    </row>
    <row r="12">
      <c r="A12" s="38" t="inlineStr">
        <is>
          <t>2026-04</t>
        </is>
      </c>
      <c r="B12" s="38">
        <f>COUNTIF('ROI por creator'!E2:E273,$A12)</f>
        <v/>
      </c>
      <c r="C12" s="38">
        <f>SUMIF('ROI por creator'!E2:E273,$A12,'ROI por creator'!I2:I273)</f>
        <v/>
      </c>
      <c r="D12" s="38">
        <f>SUMIF('ROI por creator'!E2:E273,$A12,'ROI por creator'!J2:J273)</f>
        <v/>
      </c>
      <c r="E12" s="39">
        <f>SUMIF('ROI por creator'!E2:E273,$A12,'ROI por creator'!O2:O273)</f>
        <v/>
      </c>
      <c r="F12" s="39">
        <f>SUMIF('ROI por creator'!E2:E273,$A12,'ROI por creator'!Q2:Q273)</f>
        <v/>
      </c>
      <c r="G12" s="39">
        <f>SUMIF('ROI por creator'!E2:E273,$A12,'ROI por creator'!R2:R273)</f>
        <v/>
      </c>
      <c r="H12" s="39">
        <f>SUMIF('ROI por creator'!E2:E273,$A12,'ROI por creator'!T2:T273)</f>
        <v/>
      </c>
      <c r="I12" s="40">
        <f>IF(E12&gt;0,F12/E12,0)</f>
        <v/>
      </c>
      <c r="J12" s="41">
        <f>IF(E12&gt;0,H12/E12,0)</f>
        <v/>
      </c>
    </row>
    <row r="13">
      <c r="A13" s="42" t="inlineStr">
        <is>
          <t>2026-05</t>
        </is>
      </c>
      <c r="B13" s="42">
        <f>COUNTIF('ROI por creator'!E2:E273,$A13)</f>
        <v/>
      </c>
      <c r="C13" s="42">
        <f>SUMIF('ROI por creator'!E2:E273,$A13,'ROI por creator'!I2:I273)</f>
        <v/>
      </c>
      <c r="D13" s="42">
        <f>SUMIF('ROI por creator'!E2:E273,$A13,'ROI por creator'!J2:J273)</f>
        <v/>
      </c>
      <c r="E13" s="43">
        <f>SUMIF('ROI por creator'!E2:E273,$A13,'ROI por creator'!O2:O273)</f>
        <v/>
      </c>
      <c r="F13" s="43">
        <f>SUMIF('ROI por creator'!E2:E273,$A13,'ROI por creator'!Q2:Q273)</f>
        <v/>
      </c>
      <c r="G13" s="43">
        <f>SUMIF('ROI por creator'!E2:E273,$A13,'ROI por creator'!R2:R273)</f>
        <v/>
      </c>
      <c r="H13" s="43">
        <f>SUMIF('ROI por creator'!E2:E273,$A13,'ROI por creator'!T2:T273)</f>
        <v/>
      </c>
      <c r="I13" s="44">
        <f>IF(E13&gt;0,F13/E13,0)</f>
        <v/>
      </c>
      <c r="J13" s="45">
        <f>IF(E13&gt;0,H13/E13,0)</f>
        <v/>
      </c>
    </row>
    <row r="14">
      <c r="A14" s="38" t="inlineStr">
        <is>
          <t>2026-06</t>
        </is>
      </c>
      <c r="B14" s="38">
        <f>COUNTIF('ROI por creator'!E2:E273,$A14)</f>
        <v/>
      </c>
      <c r="C14" s="38">
        <f>SUMIF('ROI por creator'!E2:E273,$A14,'ROI por creator'!I2:I273)</f>
        <v/>
      </c>
      <c r="D14" s="38">
        <f>SUMIF('ROI por creator'!E2:E273,$A14,'ROI por creator'!J2:J273)</f>
        <v/>
      </c>
      <c r="E14" s="39">
        <f>SUMIF('ROI por creator'!E2:E273,$A14,'ROI por creator'!O2:O273)</f>
        <v/>
      </c>
      <c r="F14" s="39">
        <f>SUMIF('ROI por creator'!E2:E273,$A14,'ROI por creator'!Q2:Q273)</f>
        <v/>
      </c>
      <c r="G14" s="39">
        <f>SUMIF('ROI por creator'!E2:E273,$A14,'ROI por creator'!R2:R273)</f>
        <v/>
      </c>
      <c r="H14" s="39">
        <f>SUMIF('ROI por creator'!E2:E273,$A14,'ROI por creator'!T2:T273)</f>
        <v/>
      </c>
      <c r="I14" s="40">
        <f>IF(E14&gt;0,F14/E14,0)</f>
        <v/>
      </c>
      <c r="J14" s="41">
        <f>IF(E14&gt;0,H14/E14,0)</f>
        <v/>
      </c>
    </row>
    <row r="15">
      <c r="A15" s="42" t="inlineStr">
        <is>
          <t>2026-07</t>
        </is>
      </c>
      <c r="B15" s="42">
        <f>COUNTIF('ROI por creator'!E2:E273,$A15)</f>
        <v/>
      </c>
      <c r="C15" s="42">
        <f>SUMIF('ROI por creator'!E2:E273,$A15,'ROI por creator'!I2:I273)</f>
        <v/>
      </c>
      <c r="D15" s="42">
        <f>SUMIF('ROI por creator'!E2:E273,$A15,'ROI por creator'!J2:J273)</f>
        <v/>
      </c>
      <c r="E15" s="43">
        <f>SUMIF('ROI por creator'!E2:E273,$A15,'ROI por creator'!O2:O273)</f>
        <v/>
      </c>
      <c r="F15" s="43">
        <f>SUMIF('ROI por creator'!E2:E273,$A15,'ROI por creator'!Q2:Q273)</f>
        <v/>
      </c>
      <c r="G15" s="43">
        <f>SUMIF('ROI por creator'!E2:E273,$A15,'ROI por creator'!R2:R273)</f>
        <v/>
      </c>
      <c r="H15" s="43">
        <f>SUMIF('ROI por creator'!E2:E273,$A15,'ROI por creator'!T2:T273)</f>
        <v/>
      </c>
      <c r="I15" s="44">
        <f>IF(E15&gt;0,F15/E15,0)</f>
        <v/>
      </c>
      <c r="J15" s="45">
        <f>IF(E15&gt;0,H15/E15,0)</f>
        <v/>
      </c>
    </row>
    <row r="16">
      <c r="A16" s="38" t="inlineStr">
        <is>
          <t>—</t>
        </is>
      </c>
      <c r="B16" s="38">
        <f>COUNTIF('ROI por creator'!E2:E273,$A16)</f>
        <v/>
      </c>
      <c r="C16" s="38">
        <f>SUMIF('ROI por creator'!E2:E273,$A16,'ROI por creator'!I2:I273)</f>
        <v/>
      </c>
      <c r="D16" s="38">
        <f>SUMIF('ROI por creator'!E2:E273,$A16,'ROI por creator'!J2:J273)</f>
        <v/>
      </c>
      <c r="E16" s="39">
        <f>SUMIF('ROI por creator'!E2:E273,$A16,'ROI por creator'!O2:O273)</f>
        <v/>
      </c>
      <c r="F16" s="39">
        <f>SUMIF('ROI por creator'!E2:E273,$A16,'ROI por creator'!Q2:Q273)</f>
        <v/>
      </c>
      <c r="G16" s="39">
        <f>SUMIF('ROI por creator'!E2:E273,$A16,'ROI por creator'!R2:R273)</f>
        <v/>
      </c>
      <c r="H16" s="39">
        <f>SUMIF('ROI por creator'!E2:E273,$A16,'ROI por creator'!T2:T273)</f>
        <v/>
      </c>
      <c r="I16" s="40">
        <f>IF(E16&gt;0,F16/E16,0)</f>
        <v/>
      </c>
      <c r="J16" s="41">
        <f>IF(E16&gt;0,H16/E16,0)</f>
        <v/>
      </c>
    </row>
    <row r="17">
      <c r="A17" s="33" t="inlineStr">
        <is>
          <t>TOTAL</t>
        </is>
      </c>
      <c r="B17" s="46">
        <f>SUM(B2:B16)</f>
        <v/>
      </c>
      <c r="C17" s="46">
        <f>SUM(C2:C16)</f>
        <v/>
      </c>
      <c r="D17" s="46">
        <f>SUM(D2:D16)</f>
        <v/>
      </c>
      <c r="E17" s="35">
        <f>SUM(E2:E16)</f>
        <v/>
      </c>
      <c r="F17" s="35">
        <f>SUM(F2:F16)</f>
        <v/>
      </c>
      <c r="G17" s="35">
        <f>SUM(G2:G16)</f>
        <v/>
      </c>
      <c r="H17" s="35">
        <f>SUM(H2:H16)</f>
        <v/>
      </c>
      <c r="I17" s="36">
        <f>IF(E17&gt;0,F17/E17,0)</f>
        <v/>
      </c>
      <c r="J17" s="37">
        <f>IF(E17&gt;0,H17/E17,0)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105" customWidth="1" min="2" max="2"/>
  </cols>
  <sheetData>
    <row r="1">
      <c r="B1" s="47" t="inlineStr">
        <is>
          <t>Metodologia &amp; fontes</t>
        </is>
      </c>
    </row>
    <row r="2">
      <c r="B2" s="48" t="inlineStr"/>
    </row>
    <row r="3">
      <c r="B3" s="49" t="inlineStr">
        <is>
          <t>Fonte das peças (100% API TikTok Shop)</t>
        </is>
      </c>
    </row>
    <row r="4">
      <c r="B4" s="50" t="inlineStr">
        <is>
          <t>• Endpoint: POST /affiliate_seller/202409/sample_applications/search — pedidos de free sample do TikTok.</t>
        </is>
      </c>
    </row>
    <row r="5">
      <c r="B5" s="50" t="inlineStr">
        <is>
          <t>• 1 linha por creator × SKU pedido. Persistido em warehouse/raw_sample_applications.csv. total_count=337.</t>
        </is>
      </c>
    </row>
    <row r="6">
      <c r="B6" s="50" t="inlineStr">
        <is>
          <t>• 'Peça enviada' = status em COMPLETED, SHIPPED ou CONTENT_PENDING (peça de fato despachada).</t>
        </is>
      </c>
    </row>
    <row r="7">
      <c r="B7" s="51" t="inlineStr">
        <is>
          <t>• Status excluídos: *_CANCELLED (cancelada antes do envio) e AWAITING_SHIPMENT (aprovada, ainda não despachada).</t>
        </is>
      </c>
    </row>
    <row r="8">
      <c r="B8" s="50" t="inlineStr">
        <is>
          <t>• 'Peças enviadas' por creator = nº de pedidos de amostra com status enviado. É o que vira CUSTO.</t>
        </is>
      </c>
    </row>
    <row r="9">
      <c r="B9" s="50" t="inlineStr">
        <is>
          <t>• '1º/Último convite' = create_time do pedido de amostra (via API de Order, GET /order/202309/orders). '—' = pedido fora da retenção da API.</t>
        </is>
      </c>
    </row>
    <row r="10">
      <c r="B10" s="50" t="inlineStr">
        <is>
          <t>• 'Status envio': Enviado (≥1 peça despachada) vs Nada enviado (pediu mas tudo cancelado/pendente). Use o AUTOFILTRO do cabeçalho; o TOTAL (SUBTOTAL) responde ao filtro.</t>
        </is>
      </c>
    </row>
    <row r="11">
      <c r="B11" s="48" t="inlineStr"/>
    </row>
    <row r="12">
      <c r="B12" s="49" t="inlineStr">
        <is>
          <t>Comissão</t>
        </is>
      </c>
    </row>
    <row r="13">
      <c r="B13" s="50" t="inlineStr">
        <is>
          <t>• 'Comissão %' = FAIXA acordada (8% ou 12%), consolidada das taxas reais da API (8/9/10% → 8%; 12% → 12%).</t>
        </is>
      </c>
    </row>
    <row r="14">
      <c r="B14" s="50" t="inlineStr">
        <is>
          <t>• 'Comissão paga (R$)' = comissão REAL das vendas (raw_creator_product), não taxa × GMV.</t>
        </is>
      </c>
    </row>
    <row r="15">
      <c r="B15" s="48" t="inlineStr"/>
    </row>
    <row r="16">
      <c r="B16" s="49" t="inlineStr">
        <is>
          <t>Atribuição de GMV — por COORTE de convite (mês)</t>
        </is>
      </c>
    </row>
    <row r="17">
      <c r="B17" s="50" t="inlineStr">
        <is>
          <t>• Cada creator entra no MÊS EM QUE FOI CONVIDADA (coorte), não no 1º convite all-time. Uma creator reconvidada aparece em cada mês.</t>
        </is>
      </c>
    </row>
    <row r="18">
      <c r="B18" s="50" t="inlineStr">
        <is>
          <t>• GMV/comissão/pedidos = TODO o GMV de afiliada da creator (todos os produtos, fonte Affiliate Orders), não só o produto amostrado.</t>
        </is>
      </c>
    </row>
    <row r="19">
      <c r="B19" s="50" t="inlineStr">
        <is>
          <t>• Janela por coorte = [1º convite do mês, próximo convite dela) — capada no convite seguinte, então cada venda cai na coorte de seeding mais recente. Última coorte vai até hoje (2026-07-07).</t>
        </is>
      </c>
    </row>
    <row r="20">
      <c r="B20" s="50" t="inlineStr">
        <is>
          <t>• Soma ADITIVA: os meses somam ao TOTAL sem dupla contagem (= cada creator do 1º convite dela até hoje). Mesma lógica do relatório mensal detalhado.</t>
        </is>
      </c>
    </row>
    <row r="21">
      <c r="B21" s="51" t="inlineStr">
        <is>
          <t>• Vendas coletadas (raw_creator_product, Affiliate Orders): 2026-03-05→2026-07-07. Coortes anteriores a 2026-03-05 só capturam vendas a partir dessa data.</t>
        </is>
      </c>
    </row>
    <row r="22">
      <c r="B22" s="48" t="inlineStr"/>
    </row>
    <row r="23">
      <c r="B23" s="49" t="inlineStr">
        <is>
          <t>Custo e retorno (premissas editáveis no Resumo)</t>
        </is>
      </c>
    </row>
    <row r="24">
      <c r="B24" s="50" t="inlineStr">
        <is>
          <t>• Custo seeding = (peças enviadas × custo unitário) + frete por envio.</t>
        </is>
      </c>
    </row>
    <row r="25">
      <c r="B25" s="50" t="inlineStr">
        <is>
          <t>• Margem contrib. = GMV × margem. Lucro líquido = margem − comissão paga − custo seeding.</t>
        </is>
      </c>
    </row>
    <row r="26">
      <c r="B26" s="50" t="inlineStr">
        <is>
          <t>• ROAS = GMV ÷ custo seeding.   ROI = lucro líquido ÷ custo seeding.</t>
        </is>
      </c>
    </row>
    <row r="27">
      <c r="B27" s="48" t="inlineStr"/>
    </row>
    <row r="28">
      <c r="B28" s="52" t="inlineStr">
        <is>
          <t>Ressalvas</t>
        </is>
      </c>
    </row>
    <row r="29">
      <c r="B29" s="50" t="inlineStr">
        <is>
          <t>• Custo de peça/frete são premissas — troque pelos valores reais de COGS/logística da Rhode.</t>
        </is>
      </c>
    </row>
    <row r="30">
      <c r="B30" s="50" t="inlineStr">
        <is>
          <t>• GMV é bruto (não desconta devoluções).</t>
        </is>
      </c>
    </row>
    <row r="31">
      <c r="B31" s="50" t="inlineStr">
        <is>
          <t>• Cada pedido de amostra = 1 unidade de 1 SKU (a API não expõe múltiplas unidades por pedido).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2026-07-07T14:20:02Z</dcterms:created>
  <dcterms:modified xmlns:dcterms="http://purl.org/dc/terms/" xmlns:xsi="http://www.w3.org/2001/XMLSchema-instance" xsi:type="dcterms:W3CDTF">2026-07-07T14:20:03Z</dcterms:modified>
</cp:coreProperties>
</file>