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Gerador de Links" sheetId="2" state="visible" r:id="rId2"/>
    <sheet xmlns:r="http://schemas.openxmlformats.org/officeDocument/2006/relationships" name="Respostas Form B" sheetId="3" state="visible" r:id="rId3"/>
    <sheet xmlns:r="http://schemas.openxmlformats.org/officeDocument/2006/relationships" name="Placar e Apur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E2C55"/>
      <sz val="16"/>
    </font>
    <font>
      <name val="Arial"/>
      <i val="1"/>
      <color rgb="00666666"/>
      <sz val="10"/>
    </font>
    <font>
      <name val="Arial"/>
      <color rgb="00222222"/>
      <sz val="10"/>
    </font>
    <font>
      <name val="Arial"/>
      <b val="1"/>
      <color rgb="001B3A5C"/>
      <sz val="11"/>
    </font>
    <font>
      <name val="Arial"/>
      <b val="1"/>
      <color rgb="00FE2C55"/>
      <sz val="14"/>
    </font>
    <font>
      <name val="Arial"/>
      <i val="1"/>
      <color rgb="00666666"/>
      <sz val="9"/>
    </font>
    <font>
      <name val="Arial"/>
      <b val="1"/>
      <color rgb="001B3A5C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B00000"/>
      <sz val="9"/>
    </font>
    <font>
      <name val="Arial"/>
      <color rgb="00B00000"/>
      <sz val="10"/>
    </font>
    <font>
      <name val="Arial"/>
      <b val="1"/>
      <color rgb="00FE2C55"/>
      <sz val="12"/>
    </font>
    <font>
      <name val="Arial"/>
      <color rgb="00008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5F6F8"/>
      </patternFill>
    </fill>
    <fill>
      <patternFill patternType="solid">
        <fgColor rgb="00FFF3B0"/>
      </patternFill>
    </fill>
    <fill>
      <patternFill patternType="solid">
        <fgColor rgb="001B3A5C"/>
      </patternFill>
    </fill>
    <fill>
      <patternFill patternType="solid">
        <fgColor rgb="00FE2C55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5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ont>
        <name val="Arial"/>
        <b val="1"/>
      </font>
      <fill>
        <patternFill patternType="solid">
          <fgColor rgb="00C8F5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Convidadas válidas por madrinha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'Placar e Apuração'!E7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'Placar e Apuração'!$B$8:$B$19</f>
            </numRef>
          </cat>
          <val>
            <numRef>
              <f>'Placar e Apuração'!$E$8:$E$19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MISSÃO DAS MADRINHAS — Planilha de Controle</t>
        </is>
      </c>
    </row>
    <row r="3">
      <c r="B3" s="2" t="inlineStr">
        <is>
          <t>RhodeLovers · Dia do Amigo · missão vai até 22/07/2026</t>
        </is>
      </c>
    </row>
    <row r="5">
      <c r="B5" s="3" t="inlineStr"/>
    </row>
    <row r="6">
      <c r="B6" s="4" t="inlineStr">
        <is>
          <t>COMO USAR ESTA PLANILHA</t>
        </is>
      </c>
    </row>
    <row r="7">
      <c r="B7" s="3" t="inlineStr">
        <is>
          <t>1.  Rode o script criar_forms.gs (Google Apps Script). Ele imprime o LINK PRÉ-PREENCHIDO BASE do Form B.</t>
        </is>
      </c>
    </row>
    <row r="8">
      <c r="B8" s="3" t="inlineStr">
        <is>
          <t>2.  Cole esse link base na aba «Gerador de Links» (célula amarela). Ele termina em  =TESTE  — não edite.</t>
        </is>
      </c>
    </row>
    <row r="9">
      <c r="B9" s="3" t="inlineStr">
        <is>
          <t>3.  Digite o nome de cada madrinha na coluna «Nome da Madrinha». O link único e a mensagem de WhatsApp</t>
        </is>
      </c>
    </row>
    <row r="10">
      <c r="B10" s="3" t="inlineStr">
        <is>
          <t xml:space="preserve">      são gerados sozinhos. Copie a coluna «Mensagem pronta» e cole no WhatsApp da madrinha.</t>
        </is>
      </c>
    </row>
    <row r="11">
      <c r="B11" s="3" t="inlineStr">
        <is>
          <t>4.  Conforme as convidadas preenchem o Form B, a aba «Placar / Apuração» conta sozinha por madrinha.</t>
        </is>
      </c>
    </row>
    <row r="12">
      <c r="B12" s="3" t="inlineStr"/>
    </row>
    <row r="13">
      <c r="B13" s="4" t="inlineStr">
        <is>
          <t>DE ONDE VÊM AS RESPOSTAS</t>
        </is>
      </c>
    </row>
    <row r="14">
      <c r="B14" s="3" t="inlineStr">
        <is>
          <t>•  No Form B: aba Respostas → «Vincular a Planilhas». O Google cria uma planilha com as respostas.</t>
        </is>
      </c>
    </row>
    <row r="15">
      <c r="B15" s="3" t="inlineStr">
        <is>
          <t>•  Cole essas respostas na aba «Respostas Form B» desta planilha (ou refaça as fórmulas do Placar lá).</t>
        </is>
      </c>
    </row>
    <row r="16">
      <c r="B16" s="3" t="inlineStr">
        <is>
          <t>•  A coluna «Saiu do grupo?» é preenchida por você na apuração (Sim = saiu, deixa em branco = está dentro).</t>
        </is>
      </c>
    </row>
    <row r="17">
      <c r="B17" s="3" t="inlineStr"/>
    </row>
    <row r="18">
      <c r="B18" s="4" t="inlineStr">
        <is>
          <t>APURAÇÃO (22/07, ~15 min)</t>
        </is>
      </c>
    </row>
    <row r="19">
      <c r="B19" s="3" t="inlineStr">
        <is>
          <t>•  Convidada VÁLIDA = registrou no Form B  E  continua no grupo no dia 22 (não marcada «Sim» em «Saiu»).</t>
        </is>
      </c>
    </row>
    <row r="20">
      <c r="B20" s="3" t="inlineStr">
        <is>
          <t>•  Regras: convidada mulher · madrinha sem Rhodebox nos últimos 60 dias · maior nº vence · empate = sorteio.</t>
        </is>
      </c>
    </row>
    <row r="21">
      <c r="B21" s="3" t="inlineStr">
        <is>
          <t>•  A regra dos 30 dias é AVISO na comunicação, não critério de corte (decisão 17/07).</t>
        </is>
      </c>
    </row>
    <row r="22">
      <c r="B22" s="3" t="inlineStr"/>
    </row>
    <row r="23">
      <c r="B23" s="4" t="inlineStr">
        <is>
          <t>DICA (se usar no Google Sheets)</t>
        </is>
      </c>
    </row>
    <row r="24">
      <c r="B24" s="3" t="inlineStr">
        <is>
          <t>•  No Sheets troque  SUBSTITUTE(nome," ","%20")  por  ENCODEURL(nome)  — encoda acentos também.</t>
        </is>
      </c>
    </row>
    <row r="25">
      <c r="B25" s="3" t="inlineStr">
        <is>
          <t>•  Placar automático no Sheets:  =COUNTIF('Respostas'!B:B; nome)  — igual aqui, com ; no lugar de 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62" customWidth="1" min="4" max="4"/>
    <col width="26" customWidth="1" min="5" max="5"/>
    <col width="88" customWidth="1" min="6" max="6"/>
  </cols>
  <sheetData>
    <row r="1">
      <c r="A1" s="5" t="inlineStr">
        <is>
          <t>GERADOR DE LINKS ÚNICOS</t>
        </is>
      </c>
    </row>
    <row r="2">
      <c r="A2" s="6" t="inlineStr">
        <is>
          <t>Um link por madrinha · o campo «Quem te convidou» do Form B é pré-preenchido com o nome dela</t>
        </is>
      </c>
    </row>
    <row r="4">
      <c r="A4" s="7" t="inlineStr">
        <is>
          <t>Link pré-preenchido BASE (cole aqui — termina em =TESTE):</t>
        </is>
      </c>
      <c r="C4" s="8" t="inlineStr">
        <is>
          <t>https://creators.rhodejeans.com.br/madrinhas?madrinha=TESTE</t>
        </is>
      </c>
      <c r="D4" s="27" t="n"/>
      <c r="E4" s="27" t="n"/>
      <c r="F4" s="28" t="n"/>
    </row>
    <row r="5">
      <c r="A5" s="6" t="inlineStr">
        <is>
          <t>Link bonito (página própria que posta no Form B). Fallback Google fica no README.</t>
        </is>
      </c>
    </row>
    <row r="6">
      <c r="A6" s="9" t="inlineStr">
        <is>
          <t>#</t>
        </is>
      </c>
      <c r="B6" s="10" t="inlineStr">
        <is>
          <t>Nome da Madrinha</t>
        </is>
      </c>
      <c r="C6" s="9" t="inlineStr">
        <is>
          <t>WhatsApp (com DDD)</t>
        </is>
      </c>
      <c r="D6" s="10" t="inlineStr">
        <is>
          <t>Link Único (gerado)</t>
        </is>
      </c>
      <c r="E6" s="9" t="inlineStr">
        <is>
          <t>Link Encurtado (opcional)</t>
        </is>
      </c>
      <c r="F6" s="10" t="inlineStr">
        <is>
          <t>Mensagem pronta pro WhatsApp</t>
        </is>
      </c>
    </row>
    <row r="7">
      <c r="A7" s="23">
        <f>IF($B7="","",ROW()-6)</f>
        <v/>
      </c>
      <c r="B7" s="12" t="inlineStr">
        <is>
          <t>Ana Souza</t>
        </is>
      </c>
      <c r="C7" s="13" t="inlineStr">
        <is>
          <t>(11) 90000-0001</t>
        </is>
      </c>
      <c r="D7" s="14">
        <f>IF($B7="","",SUBSTITUTE($C$4,"TESTE",SUBSTITUTE(TRIM($B7)," ","%20")))</f>
        <v/>
      </c>
      <c r="E7" s="15" t="n"/>
      <c r="F7" s="14">
        <f>IF($B7="","","Madrinha confirmada! 👑 Esse link é SÓ SEU — manda pras suas amigas: "&amp;IF($E7&lt;&gt;"",$E7,$D7)&amp;". Cada uma que entrar por ele conta pro seu placar. Missão vai até 22/07 💛")</f>
        <v/>
      </c>
    </row>
    <row r="8">
      <c r="A8" s="23">
        <f>IF($B8="","",ROW()-6)</f>
        <v/>
      </c>
      <c r="B8" s="12" t="inlineStr">
        <is>
          <t>Bruna Lima</t>
        </is>
      </c>
      <c r="C8" s="13" t="inlineStr">
        <is>
          <t>(21) 90000-0002</t>
        </is>
      </c>
      <c r="D8" s="14">
        <f>IF($B8="","",SUBSTITUTE($C$4,"TESTE",SUBSTITUTE(TRIM($B8)," ","%20")))</f>
        <v/>
      </c>
      <c r="E8" s="15" t="n"/>
      <c r="F8" s="14">
        <f>IF($B8="","","Madrinha confirmada! 👑 Esse link é SÓ SEU — manda pras suas amigas: "&amp;IF($E8&lt;&gt;"",$E8,$D8)&amp;". Cada uma que entrar por ele conta pro seu placar. Missão vai até 22/07 💛")</f>
        <v/>
      </c>
    </row>
    <row r="9">
      <c r="A9" s="23">
        <f>IF($B9="","",ROW()-6)</f>
        <v/>
      </c>
      <c r="B9" s="12" t="inlineStr">
        <is>
          <t>Carla Dias</t>
        </is>
      </c>
      <c r="C9" s="13" t="inlineStr">
        <is>
          <t>(31) 90000-0003</t>
        </is>
      </c>
      <c r="D9" s="14">
        <f>IF($B9="","",SUBSTITUTE($C$4,"TESTE",SUBSTITUTE(TRIM($B9)," ","%20")))</f>
        <v/>
      </c>
      <c r="E9" s="15" t="n"/>
      <c r="F9" s="14">
        <f>IF($B9="","","Madrinha confirmada! 👑 Esse link é SÓ SEU — manda pras suas amigas: "&amp;IF($E9&lt;&gt;"",$E9,$D9)&amp;". Cada uma que entrar por ele conta pro seu placar. Missão vai até 22/07 💛")</f>
        <v/>
      </c>
    </row>
    <row r="10">
      <c r="A10" s="23">
        <f>IF($B10="","",ROW()-6)</f>
        <v/>
      </c>
      <c r="B10" s="12" t="n"/>
      <c r="C10" s="13" t="n"/>
      <c r="D10" s="14">
        <f>IF($B10="","",SUBSTITUTE($C$4,"TESTE",SUBSTITUTE(TRIM($B10)," ","%20")))</f>
        <v/>
      </c>
      <c r="E10" s="15" t="n"/>
      <c r="F10" s="14">
        <f>IF($B10="","","Madrinha confirmada! 👑 Esse link é SÓ SEU — manda pras suas amigas: "&amp;IF($E10&lt;&gt;"",$E10,$D10)&amp;". Cada uma que entrar por ele conta pro seu placar. Missão vai até 22/07 💛")</f>
        <v/>
      </c>
    </row>
    <row r="11">
      <c r="A11" s="23">
        <f>IF($B11="","",ROW()-6)</f>
        <v/>
      </c>
      <c r="B11" s="12" t="n"/>
      <c r="C11" s="13" t="n"/>
      <c r="D11" s="14">
        <f>IF($B11="","",SUBSTITUTE($C$4,"TESTE",SUBSTITUTE(TRIM($B11)," ","%20")))</f>
        <v/>
      </c>
      <c r="E11" s="15" t="n"/>
      <c r="F11" s="14">
        <f>IF($B11="","","Madrinha confirmada! 👑 Esse link é SÓ SEU — manda pras suas amigas: "&amp;IF($E11&lt;&gt;"",$E11,$D11)&amp;". Cada uma que entrar por ele conta pro seu placar. Missão vai até 22/07 💛")</f>
        <v/>
      </c>
    </row>
    <row r="12">
      <c r="A12" s="23">
        <f>IF($B12="","",ROW()-6)</f>
        <v/>
      </c>
      <c r="B12" s="12" t="n"/>
      <c r="C12" s="13" t="n"/>
      <c r="D12" s="14">
        <f>IF($B12="","",SUBSTITUTE($C$4,"TESTE",SUBSTITUTE(TRIM($B12)," ","%20")))</f>
        <v/>
      </c>
      <c r="E12" s="15" t="n"/>
      <c r="F12" s="14">
        <f>IF($B12="","","Madrinha confirmada! 👑 Esse link é SÓ SEU — manda pras suas amigas: "&amp;IF($E12&lt;&gt;"",$E12,$D12)&amp;". Cada uma que entrar por ele conta pro seu placar. Missão vai até 22/07 💛")</f>
        <v/>
      </c>
    </row>
    <row r="13">
      <c r="A13" s="23">
        <f>IF($B13="","",ROW()-6)</f>
        <v/>
      </c>
      <c r="B13" s="12" t="n"/>
      <c r="C13" s="13" t="n"/>
      <c r="D13" s="14">
        <f>IF($B13="","",SUBSTITUTE($C$4,"TESTE",SUBSTITUTE(TRIM($B13)," ","%20")))</f>
        <v/>
      </c>
      <c r="E13" s="15" t="n"/>
      <c r="F13" s="14">
        <f>IF($B13="","","Madrinha confirmada! 👑 Esse link é SÓ SEU — manda pras suas amigas: "&amp;IF($E13&lt;&gt;"",$E13,$D13)&amp;". Cada uma que entrar por ele conta pro seu placar. Missão vai até 22/07 💛")</f>
        <v/>
      </c>
    </row>
    <row r="14">
      <c r="A14" s="23">
        <f>IF($B14="","",ROW()-6)</f>
        <v/>
      </c>
      <c r="B14" s="12" t="n"/>
      <c r="C14" s="13" t="n"/>
      <c r="D14" s="14">
        <f>IF($B14="","",SUBSTITUTE($C$4,"TESTE",SUBSTITUTE(TRIM($B14)," ","%20")))</f>
        <v/>
      </c>
      <c r="E14" s="15" t="n"/>
      <c r="F14" s="14">
        <f>IF($B14="","","Madrinha confirmada! 👑 Esse link é SÓ SEU — manda pras suas amigas: "&amp;IF($E14&lt;&gt;"",$E14,$D14)&amp;". Cada uma que entrar por ele conta pro seu placar. Missão vai até 22/07 💛")</f>
        <v/>
      </c>
    </row>
    <row r="15">
      <c r="A15" s="23">
        <f>IF($B15="","",ROW()-6)</f>
        <v/>
      </c>
      <c r="B15" s="12" t="n"/>
      <c r="C15" s="13" t="n"/>
      <c r="D15" s="14">
        <f>IF($B15="","",SUBSTITUTE($C$4,"TESTE",SUBSTITUTE(TRIM($B15)," ","%20")))</f>
        <v/>
      </c>
      <c r="E15" s="15" t="n"/>
      <c r="F15" s="14">
        <f>IF($B15="","","Madrinha confirmada! 👑 Esse link é SÓ SEU — manda pras suas amigas: "&amp;IF($E15&lt;&gt;"",$E15,$D15)&amp;". Cada uma que entrar por ele conta pro seu placar. Missão vai até 22/07 💛")</f>
        <v/>
      </c>
    </row>
    <row r="16">
      <c r="A16" s="23">
        <f>IF($B16="","",ROW()-6)</f>
        <v/>
      </c>
      <c r="B16" s="12" t="n"/>
      <c r="C16" s="13" t="n"/>
      <c r="D16" s="14">
        <f>IF($B16="","",SUBSTITUTE($C$4,"TESTE",SUBSTITUTE(TRIM($B16)," ","%20")))</f>
        <v/>
      </c>
      <c r="E16" s="15" t="n"/>
      <c r="F16" s="14">
        <f>IF($B16="","","Madrinha confirmada! 👑 Esse link é SÓ SEU — manda pras suas amigas: "&amp;IF($E16&lt;&gt;"",$E16,$D16)&amp;". Cada uma que entrar por ele conta pro seu placar. Missão vai até 22/07 💛")</f>
        <v/>
      </c>
    </row>
    <row r="17">
      <c r="A17" s="23">
        <f>IF($B17="","",ROW()-6)</f>
        <v/>
      </c>
      <c r="B17" s="12" t="n"/>
      <c r="C17" s="13" t="n"/>
      <c r="D17" s="14">
        <f>IF($B17="","",SUBSTITUTE($C$4,"TESTE",SUBSTITUTE(TRIM($B17)," ","%20")))</f>
        <v/>
      </c>
      <c r="E17" s="15" t="n"/>
      <c r="F17" s="14">
        <f>IF($B17="","","Madrinha confirmada! 👑 Esse link é SÓ SEU — manda pras suas amigas: "&amp;IF($E17&lt;&gt;"",$E17,$D17)&amp;". Cada uma que entrar por ele conta pro seu placar. Missão vai até 22/07 💛")</f>
        <v/>
      </c>
    </row>
    <row r="18">
      <c r="A18" s="23">
        <f>IF($B18="","",ROW()-6)</f>
        <v/>
      </c>
      <c r="B18" s="12" t="n"/>
      <c r="C18" s="13" t="n"/>
      <c r="D18" s="14">
        <f>IF($B18="","",SUBSTITUTE($C$4,"TESTE",SUBSTITUTE(TRIM($B18)," ","%20")))</f>
        <v/>
      </c>
      <c r="E18" s="15" t="n"/>
      <c r="F18" s="14">
        <f>IF($B18="","","Madrinha confirmada! 👑 Esse link é SÓ SEU — manda pras suas amigas: "&amp;IF($E18&lt;&gt;"",$E18,$D18)&amp;". Cada uma que entrar por ele conta pro seu placar. Missão vai até 22/07 💛")</f>
        <v/>
      </c>
    </row>
    <row r="19">
      <c r="A19" s="23">
        <f>IF($B19="","",ROW()-6)</f>
        <v/>
      </c>
      <c r="B19" s="12" t="n"/>
      <c r="C19" s="13" t="n"/>
      <c r="D19" s="14">
        <f>IF($B19="","",SUBSTITUTE($C$4,"TESTE",SUBSTITUTE(TRIM($B19)," ","%20")))</f>
        <v/>
      </c>
      <c r="E19" s="15" t="n"/>
      <c r="F19" s="14">
        <f>IF($B19="","","Madrinha confirmada! 👑 Esse link é SÓ SEU — manda pras suas amigas: "&amp;IF($E19&lt;&gt;"",$E19,$D19)&amp;". Cada uma que entrar por ele conta pro seu placar. Missão vai até 22/07 💛")</f>
        <v/>
      </c>
    </row>
    <row r="20">
      <c r="A20" s="23">
        <f>IF($B20="","",ROW()-6)</f>
        <v/>
      </c>
      <c r="B20" s="12" t="n"/>
      <c r="C20" s="13" t="n"/>
      <c r="D20" s="14">
        <f>IF($B20="","",SUBSTITUTE($C$4,"TESTE",SUBSTITUTE(TRIM($B20)," ","%20")))</f>
        <v/>
      </c>
      <c r="E20" s="15" t="n"/>
      <c r="F20" s="14">
        <f>IF($B20="","","Madrinha confirmada! 👑 Esse link é SÓ SEU — manda pras suas amigas: "&amp;IF($E20&lt;&gt;"",$E20,$D20)&amp;". Cada uma que entrar por ele conta pro seu placar. Missão vai até 22/07 💛")</f>
        <v/>
      </c>
    </row>
    <row r="21">
      <c r="A21" s="23">
        <f>IF($B21="","",ROW()-6)</f>
        <v/>
      </c>
      <c r="B21" s="12" t="n"/>
      <c r="C21" s="13" t="n"/>
      <c r="D21" s="14">
        <f>IF($B21="","",SUBSTITUTE($C$4,"TESTE",SUBSTITUTE(TRIM($B21)," ","%20")))</f>
        <v/>
      </c>
      <c r="E21" s="15" t="n"/>
      <c r="F21" s="14">
        <f>IF($B21="","","Madrinha confirmada! 👑 Esse link é SÓ SEU — manda pras suas amigas: "&amp;IF($E21&lt;&gt;"",$E21,$D21)&amp;". Cada uma que entrar por ele conta pro seu placar. Missão vai até 22/07 💛")</f>
        <v/>
      </c>
    </row>
    <row r="22">
      <c r="A22" s="23">
        <f>IF($B22="","",ROW()-6)</f>
        <v/>
      </c>
      <c r="B22" s="12" t="n"/>
      <c r="C22" s="13" t="n"/>
      <c r="D22" s="14">
        <f>IF($B22="","",SUBSTITUTE($C$4,"TESTE",SUBSTITUTE(TRIM($B22)," ","%20")))</f>
        <v/>
      </c>
      <c r="E22" s="15" t="n"/>
      <c r="F22" s="14">
        <f>IF($B22="","","Madrinha confirmada! 👑 Esse link é SÓ SEU — manda pras suas amigas: "&amp;IF($E22&lt;&gt;"",$E22,$D22)&amp;". Cada uma que entrar por ele conta pro seu placar. Missão vai até 22/07 💛")</f>
        <v/>
      </c>
    </row>
    <row r="23">
      <c r="A23" s="23">
        <f>IF($B23="","",ROW()-6)</f>
        <v/>
      </c>
      <c r="B23" s="12" t="n"/>
      <c r="C23" s="13" t="n"/>
      <c r="D23" s="14">
        <f>IF($B23="","",SUBSTITUTE($C$4,"TESTE",SUBSTITUTE(TRIM($B23)," ","%20")))</f>
        <v/>
      </c>
      <c r="E23" s="15" t="n"/>
      <c r="F23" s="14">
        <f>IF($B23="","","Madrinha confirmada! 👑 Esse link é SÓ SEU — manda pras suas amigas: "&amp;IF($E23&lt;&gt;"",$E23,$D23)&amp;". Cada uma que entrar por ele conta pro seu placar. Missão vai até 22/07 💛")</f>
        <v/>
      </c>
    </row>
    <row r="24">
      <c r="A24" s="23">
        <f>IF($B24="","",ROW()-6)</f>
        <v/>
      </c>
      <c r="B24" s="12" t="n"/>
      <c r="C24" s="13" t="n"/>
      <c r="D24" s="14">
        <f>IF($B24="","",SUBSTITUTE($C$4,"TESTE",SUBSTITUTE(TRIM($B24)," ","%20")))</f>
        <v/>
      </c>
      <c r="E24" s="15" t="n"/>
      <c r="F24" s="14">
        <f>IF($B24="","","Madrinha confirmada! 👑 Esse link é SÓ SEU — manda pras suas amigas: "&amp;IF($E24&lt;&gt;"",$E24,$D24)&amp;". Cada uma que entrar por ele conta pro seu placar. Missão vai até 22/07 💛")</f>
        <v/>
      </c>
    </row>
    <row r="25">
      <c r="A25" s="23">
        <f>IF($B25="","",ROW()-6)</f>
        <v/>
      </c>
      <c r="B25" s="12" t="n"/>
      <c r="C25" s="13" t="n"/>
      <c r="D25" s="14">
        <f>IF($B25="","",SUBSTITUTE($C$4,"TESTE",SUBSTITUTE(TRIM($B25)," ","%20")))</f>
        <v/>
      </c>
      <c r="E25" s="15" t="n"/>
      <c r="F25" s="14">
        <f>IF($B25="","","Madrinha confirmada! 👑 Esse link é SÓ SEU — manda pras suas amigas: "&amp;IF($E25&lt;&gt;"",$E25,$D25)&amp;". Cada uma que entrar por ele conta pro seu placar. Missão vai até 22/07 💛")</f>
        <v/>
      </c>
    </row>
    <row r="26">
      <c r="A26" s="23">
        <f>IF($B26="","",ROW()-6)</f>
        <v/>
      </c>
      <c r="B26" s="12" t="n"/>
      <c r="C26" s="13" t="n"/>
      <c r="D26" s="14">
        <f>IF($B26="","",SUBSTITUTE($C$4,"TESTE",SUBSTITUTE(TRIM($B26)," ","%20")))</f>
        <v/>
      </c>
      <c r="E26" s="15" t="n"/>
      <c r="F26" s="14">
        <f>IF($B26="","","Madrinha confirmada! 👑 Esse link é SÓ SEU — manda pras suas amigas: "&amp;IF($E26&lt;&gt;"",$E26,$D26)&amp;". Cada uma que entrar por ele conta pro seu placar. Missão vai até 22/07 💛")</f>
        <v/>
      </c>
    </row>
    <row r="27">
      <c r="A27" s="23">
        <f>IF($B27="","",ROW()-6)</f>
        <v/>
      </c>
      <c r="B27" s="12" t="n"/>
      <c r="C27" s="13" t="n"/>
      <c r="D27" s="14">
        <f>IF($B27="","",SUBSTITUTE($C$4,"TESTE",SUBSTITUTE(TRIM($B27)," ","%20")))</f>
        <v/>
      </c>
      <c r="E27" s="15" t="n"/>
      <c r="F27" s="14">
        <f>IF($B27="","","Madrinha confirmada! 👑 Esse link é SÓ SEU — manda pras suas amigas: "&amp;IF($E27&lt;&gt;"",$E27,$D27)&amp;". Cada uma que entrar por ele conta pro seu placar. Missão vai até 22/07 💛")</f>
        <v/>
      </c>
    </row>
    <row r="28">
      <c r="A28" s="23">
        <f>IF($B28="","",ROW()-6)</f>
        <v/>
      </c>
      <c r="B28" s="12" t="n"/>
      <c r="C28" s="13" t="n"/>
      <c r="D28" s="14">
        <f>IF($B28="","",SUBSTITUTE($C$4,"TESTE",SUBSTITUTE(TRIM($B28)," ","%20")))</f>
        <v/>
      </c>
      <c r="E28" s="15" t="n"/>
      <c r="F28" s="14">
        <f>IF($B28="","","Madrinha confirmada! 👑 Esse link é SÓ SEU — manda pras suas amigas: "&amp;IF($E28&lt;&gt;"",$E28,$D28)&amp;". Cada uma que entrar por ele conta pro seu placar. Missão vai até 22/07 💛")</f>
        <v/>
      </c>
    </row>
    <row r="29">
      <c r="A29" s="23">
        <f>IF($B29="","",ROW()-6)</f>
        <v/>
      </c>
      <c r="B29" s="12" t="n"/>
      <c r="C29" s="13" t="n"/>
      <c r="D29" s="14">
        <f>IF($B29="","",SUBSTITUTE($C$4,"TESTE",SUBSTITUTE(TRIM($B29)," ","%20")))</f>
        <v/>
      </c>
      <c r="E29" s="15" t="n"/>
      <c r="F29" s="14">
        <f>IF($B29="","","Madrinha confirmada! 👑 Esse link é SÓ SEU — manda pras suas amigas: "&amp;IF($E29&lt;&gt;"",$E29,$D29)&amp;". Cada uma que entrar por ele conta pro seu placar. Missão vai até 22/07 💛")</f>
        <v/>
      </c>
    </row>
    <row r="30">
      <c r="A30" s="23">
        <f>IF($B30="","",ROW()-6)</f>
        <v/>
      </c>
      <c r="B30" s="12" t="n"/>
      <c r="C30" s="13" t="n"/>
      <c r="D30" s="14">
        <f>IF($B30="","",SUBSTITUTE($C$4,"TESTE",SUBSTITUTE(TRIM($B30)," ","%20")))</f>
        <v/>
      </c>
      <c r="E30" s="15" t="n"/>
      <c r="F30" s="14">
        <f>IF($B30="","","Madrinha confirmada! 👑 Esse link é SÓ SEU — manda pras suas amigas: "&amp;IF($E30&lt;&gt;"",$E30,$D30)&amp;". Cada uma que entrar por ele conta pro seu placar. Missão vai até 22/07 💛")</f>
        <v/>
      </c>
    </row>
    <row r="31">
      <c r="A31" s="23">
        <f>IF($B31="","",ROW()-6)</f>
        <v/>
      </c>
      <c r="B31" s="12" t="n"/>
      <c r="C31" s="13" t="n"/>
      <c r="D31" s="14">
        <f>IF($B31="","",SUBSTITUTE($C$4,"TESTE",SUBSTITUTE(TRIM($B31)," ","%20")))</f>
        <v/>
      </c>
      <c r="E31" s="15" t="n"/>
      <c r="F31" s="14">
        <f>IF($B31="","","Madrinha confirmada! 👑 Esse link é SÓ SEU — manda pras suas amigas: "&amp;IF($E31&lt;&gt;"",$E31,$D31)&amp;". Cada uma que entrar por ele conta pro seu placar. Missão vai até 22/07 💛")</f>
        <v/>
      </c>
    </row>
    <row r="32">
      <c r="A32" s="23">
        <f>IF($B32="","",ROW()-6)</f>
        <v/>
      </c>
      <c r="B32" s="12" t="n"/>
      <c r="C32" s="13" t="n"/>
      <c r="D32" s="14">
        <f>IF($B32="","",SUBSTITUTE($C$4,"TESTE",SUBSTITUTE(TRIM($B32)," ","%20")))</f>
        <v/>
      </c>
      <c r="E32" s="15" t="n"/>
      <c r="F32" s="14">
        <f>IF($B32="","","Madrinha confirmada! 👑 Esse link é SÓ SEU — manda pras suas amigas: "&amp;IF($E32&lt;&gt;"",$E32,$D32)&amp;". Cada uma que entrar por ele conta pro seu placar. Missão vai até 22/07 💛")</f>
        <v/>
      </c>
    </row>
    <row r="33">
      <c r="A33" s="23">
        <f>IF($B33="","",ROW()-6)</f>
        <v/>
      </c>
      <c r="B33" s="12" t="n"/>
      <c r="C33" s="13" t="n"/>
      <c r="D33" s="14">
        <f>IF($B33="","",SUBSTITUTE($C$4,"TESTE",SUBSTITUTE(TRIM($B33)," ","%20")))</f>
        <v/>
      </c>
      <c r="E33" s="15" t="n"/>
      <c r="F33" s="14">
        <f>IF($B33="","","Madrinha confirmada! 👑 Esse link é SÓ SEU — manda pras suas amigas: "&amp;IF($E33&lt;&gt;"",$E33,$D33)&amp;". Cada uma que entrar por ele conta pro seu placar. Missão vai até 22/07 💛")</f>
        <v/>
      </c>
    </row>
    <row r="34">
      <c r="A34" s="23">
        <f>IF($B34="","",ROW()-6)</f>
        <v/>
      </c>
      <c r="B34" s="12" t="n"/>
      <c r="C34" s="13" t="n"/>
      <c r="D34" s="14">
        <f>IF($B34="","",SUBSTITUTE($C$4,"TESTE",SUBSTITUTE(TRIM($B34)," ","%20")))</f>
        <v/>
      </c>
      <c r="E34" s="15" t="n"/>
      <c r="F34" s="14">
        <f>IF($B34="","","Madrinha confirmada! 👑 Esse link é SÓ SEU — manda pras suas amigas: "&amp;IF($E34&lt;&gt;"",$E34,$D34)&amp;". Cada uma que entrar por ele conta pro seu placar. Missão vai até 22/07 💛")</f>
        <v/>
      </c>
    </row>
    <row r="35">
      <c r="A35" s="23">
        <f>IF($B35="","",ROW()-6)</f>
        <v/>
      </c>
      <c r="B35" s="12" t="n"/>
      <c r="C35" s="13" t="n"/>
      <c r="D35" s="14">
        <f>IF($B35="","",SUBSTITUTE($C$4,"TESTE",SUBSTITUTE(TRIM($B35)," ","%20")))</f>
        <v/>
      </c>
      <c r="E35" s="15" t="n"/>
      <c r="F35" s="14">
        <f>IF($B35="","","Madrinha confirmada! 👑 Esse link é SÓ SEU — manda pras suas amigas: "&amp;IF($E35&lt;&gt;"",$E35,$D35)&amp;". Cada uma que entrar por ele conta pro seu placar. Missão vai até 22/07 💛")</f>
        <v/>
      </c>
    </row>
    <row r="36">
      <c r="A36" s="23">
        <f>IF($B36="","",ROW()-6)</f>
        <v/>
      </c>
      <c r="B36" s="12" t="n"/>
      <c r="C36" s="13" t="n"/>
      <c r="D36" s="14">
        <f>IF($B36="","",SUBSTITUTE($C$4,"TESTE",SUBSTITUTE(TRIM($B36)," ","%20")))</f>
        <v/>
      </c>
      <c r="E36" s="15" t="n"/>
      <c r="F36" s="14">
        <f>IF($B36="","","Madrinha confirmada! 👑 Esse link é SÓ SEU — manda pras suas amigas: "&amp;IF($E36&lt;&gt;"",$E36,$D36)&amp;". Cada uma que entrar por ele conta pro seu placar. Missão vai até 22/07 💛")</f>
        <v/>
      </c>
    </row>
    <row r="37">
      <c r="A37" s="23">
        <f>IF($B37="","",ROW()-6)</f>
        <v/>
      </c>
      <c r="B37" s="12" t="n"/>
      <c r="C37" s="13" t="n"/>
      <c r="D37" s="14">
        <f>IF($B37="","",SUBSTITUTE($C$4,"TESTE",SUBSTITUTE(TRIM($B37)," ","%20")))</f>
        <v/>
      </c>
      <c r="E37" s="15" t="n"/>
      <c r="F37" s="14">
        <f>IF($B37="","","Madrinha confirmada! 👑 Esse link é SÓ SEU — manda pras suas amigas: "&amp;IF($E37&lt;&gt;"",$E37,$D37)&amp;". Cada uma que entrar por ele conta pro seu placar. Missão vai até 22/07 💛")</f>
        <v/>
      </c>
    </row>
    <row r="38">
      <c r="A38" s="23">
        <f>IF($B38="","",ROW()-6)</f>
        <v/>
      </c>
      <c r="B38" s="12" t="n"/>
      <c r="C38" s="13" t="n"/>
      <c r="D38" s="14">
        <f>IF($B38="","",SUBSTITUTE($C$4,"TESTE",SUBSTITUTE(TRIM($B38)," ","%20")))</f>
        <v/>
      </c>
      <c r="E38" s="15" t="n"/>
      <c r="F38" s="14">
        <f>IF($B38="","","Madrinha confirmada! 👑 Esse link é SÓ SEU — manda pras suas amigas: "&amp;IF($E38&lt;&gt;"",$E38,$D38)&amp;". Cada uma que entrar por ele conta pro seu placar. Missão vai até 22/07 💛")</f>
        <v/>
      </c>
    </row>
    <row r="39">
      <c r="A39" s="23">
        <f>IF($B39="","",ROW()-6)</f>
        <v/>
      </c>
      <c r="B39" s="12" t="n"/>
      <c r="C39" s="13" t="n"/>
      <c r="D39" s="14">
        <f>IF($B39="","",SUBSTITUTE($C$4,"TESTE",SUBSTITUTE(TRIM($B39)," ","%20")))</f>
        <v/>
      </c>
      <c r="E39" s="15" t="n"/>
      <c r="F39" s="14">
        <f>IF($B39="","","Madrinha confirmada! 👑 Esse link é SÓ SEU — manda pras suas amigas: "&amp;IF($E39&lt;&gt;"",$E39,$D39)&amp;". Cada uma que entrar por ele conta pro seu placar. Missão vai até 22/07 💛")</f>
        <v/>
      </c>
    </row>
    <row r="40">
      <c r="A40" s="23">
        <f>IF($B40="","",ROW()-6)</f>
        <v/>
      </c>
      <c r="B40" s="12" t="n"/>
      <c r="C40" s="13" t="n"/>
      <c r="D40" s="14">
        <f>IF($B40="","",SUBSTITUTE($C$4,"TESTE",SUBSTITUTE(TRIM($B40)," ","%20")))</f>
        <v/>
      </c>
      <c r="E40" s="15" t="n"/>
      <c r="F40" s="14">
        <f>IF($B40="","","Madrinha confirmada! 👑 Esse link é SÓ SEU — manda pras suas amigas: "&amp;IF($E40&lt;&gt;"",$E40,$D40)&amp;". Cada uma que entrar por ele conta pro seu placar. Missão vai até 22/07 💛")</f>
        <v/>
      </c>
    </row>
    <row r="41">
      <c r="A41" s="23">
        <f>IF($B41="","",ROW()-6)</f>
        <v/>
      </c>
      <c r="B41" s="12" t="n"/>
      <c r="C41" s="13" t="n"/>
      <c r="D41" s="14">
        <f>IF($B41="","",SUBSTITUTE($C$4,"TESTE",SUBSTITUTE(TRIM($B41)," ","%20")))</f>
        <v/>
      </c>
      <c r="E41" s="15" t="n"/>
      <c r="F41" s="14">
        <f>IF($B41="","","Madrinha confirmada! 👑 Esse link é SÓ SEU — manda pras suas amigas: "&amp;IF($E41&lt;&gt;"",$E41,$D41)&amp;". Cada uma que entrar por ele conta pro seu placar. Missão vai até 22/07 💛")</f>
        <v/>
      </c>
    </row>
    <row r="42">
      <c r="A42" s="23">
        <f>IF($B42="","",ROW()-6)</f>
        <v/>
      </c>
      <c r="B42" s="12" t="n"/>
      <c r="C42" s="13" t="n"/>
      <c r="D42" s="14">
        <f>IF($B42="","",SUBSTITUTE($C$4,"TESTE",SUBSTITUTE(TRIM($B42)," ","%20")))</f>
        <v/>
      </c>
      <c r="E42" s="15" t="n"/>
      <c r="F42" s="14">
        <f>IF($B42="","","Madrinha confirmada! 👑 Esse link é SÓ SEU — manda pras suas amigas: "&amp;IF($E42&lt;&gt;"",$E42,$D42)&amp;". Cada uma que entrar por ele conta pro seu placar. Missão vai até 22/07 💛")</f>
        <v/>
      </c>
    </row>
    <row r="43">
      <c r="A43" s="23">
        <f>IF($B43="","",ROW()-6)</f>
        <v/>
      </c>
      <c r="B43" s="12" t="n"/>
      <c r="C43" s="13" t="n"/>
      <c r="D43" s="14">
        <f>IF($B43="","",SUBSTITUTE($C$4,"TESTE",SUBSTITUTE(TRIM($B43)," ","%20")))</f>
        <v/>
      </c>
      <c r="E43" s="15" t="n"/>
      <c r="F43" s="14">
        <f>IF($B43="","","Madrinha confirmada! 👑 Esse link é SÓ SEU — manda pras suas amigas: "&amp;IF($E43&lt;&gt;"",$E43,$D43)&amp;". Cada uma que entrar por ele conta pro seu placar. Missão vai até 22/07 💛")</f>
        <v/>
      </c>
    </row>
    <row r="44">
      <c r="A44" s="23">
        <f>IF($B44="","",ROW()-6)</f>
        <v/>
      </c>
      <c r="B44" s="12" t="n"/>
      <c r="C44" s="13" t="n"/>
      <c r="D44" s="14">
        <f>IF($B44="","",SUBSTITUTE($C$4,"TESTE",SUBSTITUTE(TRIM($B44)," ","%20")))</f>
        <v/>
      </c>
      <c r="E44" s="15" t="n"/>
      <c r="F44" s="14">
        <f>IF($B44="","","Madrinha confirmada! 👑 Esse link é SÓ SEU — manda pras suas amigas: "&amp;IF($E44&lt;&gt;"",$E44,$D44)&amp;". Cada uma que entrar por ele conta pro seu placar. Missão vai até 22/07 💛")</f>
        <v/>
      </c>
    </row>
    <row r="45">
      <c r="A45" s="23">
        <f>IF($B45="","",ROW()-6)</f>
        <v/>
      </c>
      <c r="B45" s="12" t="n"/>
      <c r="C45" s="13" t="n"/>
      <c r="D45" s="14">
        <f>IF($B45="","",SUBSTITUTE($C$4,"TESTE",SUBSTITUTE(TRIM($B45)," ","%20")))</f>
        <v/>
      </c>
      <c r="E45" s="15" t="n"/>
      <c r="F45" s="14">
        <f>IF($B45="","","Madrinha confirmada! 👑 Esse link é SÓ SEU — manda pras suas amigas: "&amp;IF($E45&lt;&gt;"",$E45,$D45)&amp;". Cada uma que entrar por ele conta pro seu placar. Missão vai até 22/07 💛")</f>
        <v/>
      </c>
    </row>
    <row r="46">
      <c r="A46" s="23">
        <f>IF($B46="","",ROW()-6)</f>
        <v/>
      </c>
      <c r="B46" s="12" t="n"/>
      <c r="C46" s="13" t="n"/>
      <c r="D46" s="14">
        <f>IF($B46="","",SUBSTITUTE($C$4,"TESTE",SUBSTITUTE(TRIM($B46)," ","%20")))</f>
        <v/>
      </c>
      <c r="E46" s="15" t="n"/>
      <c r="F46" s="14">
        <f>IF($B46="","","Madrinha confirmada! 👑 Esse link é SÓ SEU — manda pras suas amigas: "&amp;IF($E46&lt;&gt;"",$E46,$D46)&amp;". Cada uma que entrar por ele conta pro seu placar. Missão vai até 22/07 💛")</f>
        <v/>
      </c>
    </row>
    <row r="47">
      <c r="A47" s="23">
        <f>IF($B47="","",ROW()-6)</f>
        <v/>
      </c>
      <c r="B47" s="12" t="n"/>
      <c r="C47" s="13" t="n"/>
      <c r="D47" s="14">
        <f>IF($B47="","",SUBSTITUTE($C$4,"TESTE",SUBSTITUTE(TRIM($B47)," ","%20")))</f>
        <v/>
      </c>
      <c r="E47" s="15" t="n"/>
      <c r="F47" s="14">
        <f>IF($B47="","","Madrinha confirmada! 👑 Esse link é SÓ SEU — manda pras suas amigas: "&amp;IF($E47&lt;&gt;"",$E47,$D47)&amp;". Cada uma que entrar por ele conta pro seu placar. Missão vai até 22/07 💛")</f>
        <v/>
      </c>
    </row>
    <row r="48">
      <c r="A48" s="23">
        <f>IF($B48="","",ROW()-6)</f>
        <v/>
      </c>
      <c r="B48" s="12" t="n"/>
      <c r="C48" s="13" t="n"/>
      <c r="D48" s="14">
        <f>IF($B48="","",SUBSTITUTE($C$4,"TESTE",SUBSTITUTE(TRIM($B48)," ","%20")))</f>
        <v/>
      </c>
      <c r="E48" s="15" t="n"/>
      <c r="F48" s="14">
        <f>IF($B48="","","Madrinha confirmada! 👑 Esse link é SÓ SEU — manda pras suas amigas: "&amp;IF($E48&lt;&gt;"",$E48,$D48)&amp;". Cada uma que entrar por ele conta pro seu placar. Missão vai até 22/07 💛")</f>
        <v/>
      </c>
    </row>
    <row r="49">
      <c r="A49" s="23">
        <f>IF($B49="","",ROW()-6)</f>
        <v/>
      </c>
      <c r="B49" s="12" t="n"/>
      <c r="C49" s="13" t="n"/>
      <c r="D49" s="14">
        <f>IF($B49="","",SUBSTITUTE($C$4,"TESTE",SUBSTITUTE(TRIM($B49)," ","%20")))</f>
        <v/>
      </c>
      <c r="E49" s="15" t="n"/>
      <c r="F49" s="14">
        <f>IF($B49="","","Madrinha confirmada! 👑 Esse link é SÓ SEU — manda pras suas amigas: "&amp;IF($E49&lt;&gt;"",$E49,$D49)&amp;". Cada uma que entrar por ele conta pro seu placar. Missão vai até 22/07 💛")</f>
        <v/>
      </c>
    </row>
    <row r="50">
      <c r="A50" s="23">
        <f>IF($B50="","",ROW()-6)</f>
        <v/>
      </c>
      <c r="B50" s="12" t="n"/>
      <c r="C50" s="13" t="n"/>
      <c r="D50" s="14">
        <f>IF($B50="","",SUBSTITUTE($C$4,"TESTE",SUBSTITUTE(TRIM($B50)," ","%20")))</f>
        <v/>
      </c>
      <c r="E50" s="15" t="n"/>
      <c r="F50" s="14">
        <f>IF($B50="","","Madrinha confirmada! 👑 Esse link é SÓ SEU — manda pras suas amigas: "&amp;IF($E50&lt;&gt;"",$E50,$D50)&amp;". Cada uma que entrar por ele conta pro seu placar. Missão vai até 22/07 💛")</f>
        <v/>
      </c>
    </row>
    <row r="51">
      <c r="A51" s="23">
        <f>IF($B51="","",ROW()-6)</f>
        <v/>
      </c>
      <c r="B51" s="12" t="n"/>
      <c r="C51" s="13" t="n"/>
      <c r="D51" s="14">
        <f>IF($B51="","",SUBSTITUTE($C$4,"TESTE",SUBSTITUTE(TRIM($B51)," ","%20")))</f>
        <v/>
      </c>
      <c r="E51" s="15" t="n"/>
      <c r="F51" s="14">
        <f>IF($B51="","","Madrinha confirmada! 👑 Esse link é SÓ SEU — manda pras suas amigas: "&amp;IF($E51&lt;&gt;"",$E51,$D51)&amp;". Cada uma que entrar por ele conta pro seu placar. Missão vai até 22/07 💛")</f>
        <v/>
      </c>
    </row>
    <row r="52">
      <c r="A52" s="23">
        <f>IF($B52="","",ROW()-6)</f>
        <v/>
      </c>
      <c r="B52" s="12" t="n"/>
      <c r="C52" s="13" t="n"/>
      <c r="D52" s="14">
        <f>IF($B52="","",SUBSTITUTE($C$4,"TESTE",SUBSTITUTE(TRIM($B52)," ","%20")))</f>
        <v/>
      </c>
      <c r="E52" s="15" t="n"/>
      <c r="F52" s="14">
        <f>IF($B52="","","Madrinha confirmada! 👑 Esse link é SÓ SEU — manda pras suas amigas: "&amp;IF($E52&lt;&gt;"",$E52,$D52)&amp;". Cada uma que entrar por ele conta pro seu placar. Missão vai até 22/07 💛")</f>
        <v/>
      </c>
    </row>
    <row r="53">
      <c r="A53" s="23">
        <f>IF($B53="","",ROW()-6)</f>
        <v/>
      </c>
      <c r="B53" s="12" t="n"/>
      <c r="C53" s="13" t="n"/>
      <c r="D53" s="14">
        <f>IF($B53="","",SUBSTITUTE($C$4,"TESTE",SUBSTITUTE(TRIM($B53)," ","%20")))</f>
        <v/>
      </c>
      <c r="E53" s="15" t="n"/>
      <c r="F53" s="14">
        <f>IF($B53="","","Madrinha confirmada! 👑 Esse link é SÓ SEU — manda pras suas amigas: "&amp;IF($E53&lt;&gt;"",$E53,$D53)&amp;". Cada uma que entrar por ele conta pro seu placar. Missão vai até 22/07 💛")</f>
        <v/>
      </c>
    </row>
    <row r="54">
      <c r="A54" s="23">
        <f>IF($B54="","",ROW()-6)</f>
        <v/>
      </c>
      <c r="B54" s="12" t="n"/>
      <c r="C54" s="13" t="n"/>
      <c r="D54" s="14">
        <f>IF($B54="","",SUBSTITUTE($C$4,"TESTE",SUBSTITUTE(TRIM($B54)," ","%20")))</f>
        <v/>
      </c>
      <c r="E54" s="15" t="n"/>
      <c r="F54" s="14">
        <f>IF($B54="","","Madrinha confirmada! 👑 Esse link é SÓ SEU — manda pras suas amigas: "&amp;IF($E54&lt;&gt;"",$E54,$D54)&amp;". Cada uma que entrar por ele conta pro seu placar. Missão vai até 22/07 💛")</f>
        <v/>
      </c>
    </row>
    <row r="55">
      <c r="A55" s="23">
        <f>IF($B55="","",ROW()-6)</f>
        <v/>
      </c>
      <c r="B55" s="12" t="n"/>
      <c r="C55" s="13" t="n"/>
      <c r="D55" s="14">
        <f>IF($B55="","",SUBSTITUTE($C$4,"TESTE",SUBSTITUTE(TRIM($B55)," ","%20")))</f>
        <v/>
      </c>
      <c r="E55" s="15" t="n"/>
      <c r="F55" s="14">
        <f>IF($B55="","","Madrinha confirmada! 👑 Esse link é SÓ SEU — manda pras suas amigas: "&amp;IF($E55&lt;&gt;"",$E55,$D55)&amp;". Cada uma que entrar por ele conta pro seu placar. Missão vai até 22/07 💛")</f>
        <v/>
      </c>
    </row>
    <row r="56">
      <c r="A56" s="23">
        <f>IF($B56="","",ROW()-6)</f>
        <v/>
      </c>
      <c r="B56" s="12" t="n"/>
      <c r="C56" s="13" t="n"/>
      <c r="D56" s="14">
        <f>IF($B56="","",SUBSTITUTE($C$4,"TESTE",SUBSTITUTE(TRIM($B56)," ","%20")))</f>
        <v/>
      </c>
      <c r="E56" s="15" t="n"/>
      <c r="F56" s="14">
        <f>IF($B56="","","Madrinha confirmada! 👑 Esse link é SÓ SEU — manda pras suas amigas: "&amp;IF($E56&lt;&gt;"",$E56,$D56)&amp;". Cada uma que entrar por ele conta pro seu placar. Missão vai até 22/07 💛")</f>
        <v/>
      </c>
    </row>
    <row r="58">
      <c r="B58" s="16" t="inlineStr">
        <is>
          <t>↑ apague os 3 exemplos (Ana/Bruna/Carla) antes de usar</t>
        </is>
      </c>
    </row>
  </sheetData>
  <mergeCells count="2">
    <mergeCell ref="A4:B4"/>
    <mergeCell ref="C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0" customWidth="1" min="4" max="4"/>
    <col width="22" customWidth="1" min="5" max="5"/>
    <col width="18" customWidth="1" min="6" max="6"/>
  </cols>
  <sheetData>
    <row r="1">
      <c r="A1" s="17" t="inlineStr">
        <is>
          <t>Carimbo de data/hora</t>
        </is>
      </c>
      <c r="B1" s="17" t="inlineStr">
        <is>
          <t>Quem te convidou</t>
        </is>
      </c>
      <c r="C1" s="17" t="inlineStr">
        <is>
          <t>Seu nome completo</t>
        </is>
      </c>
      <c r="D1" s="17" t="inlineStr">
        <is>
          <t>Seu WhatsApp (com DDD)</t>
        </is>
      </c>
      <c r="E1" s="17" t="inlineStr">
        <is>
          <t>Seu @ Instagram/TikTok</t>
        </is>
      </c>
      <c r="F1" s="17" t="inlineStr">
        <is>
          <t>Saiu do grupo?</t>
        </is>
      </c>
      <c r="H1" s="6" t="inlineStr">
        <is>
          <t>← cole aqui as respostas do Form B (Vincular a Planilhas). Col F = você marca «Sim» se a convidada saiu do grupo.</t>
        </is>
      </c>
    </row>
    <row r="2">
      <c r="A2" s="18" t="inlineStr">
        <is>
          <t>17/07/2026 14:31:02</t>
        </is>
      </c>
      <c r="B2" s="19" t="inlineStr">
        <is>
          <t>Ana Souza</t>
        </is>
      </c>
      <c r="C2" s="19" t="inlineStr">
        <is>
          <t>Marina P.</t>
        </is>
      </c>
      <c r="D2" s="18" t="inlineStr">
        <is>
          <t>(11) 98888-1111</t>
        </is>
      </c>
      <c r="E2" s="19" t="inlineStr">
        <is>
          <t>@marina</t>
        </is>
      </c>
      <c r="F2" s="18" t="inlineStr"/>
    </row>
    <row r="3">
      <c r="A3" s="18" t="inlineStr">
        <is>
          <t>17/07/2026 15:02:47</t>
        </is>
      </c>
      <c r="B3" s="19" t="inlineStr">
        <is>
          <t>Ana Souza</t>
        </is>
      </c>
      <c r="C3" s="19" t="inlineStr">
        <is>
          <t>Júlia R.</t>
        </is>
      </c>
      <c r="D3" s="18" t="inlineStr">
        <is>
          <t>(11) 98888-2222</t>
        </is>
      </c>
      <c r="E3" s="19" t="inlineStr">
        <is>
          <t>@juliar</t>
        </is>
      </c>
      <c r="F3" s="18" t="inlineStr"/>
    </row>
    <row r="4">
      <c r="A4" s="18" t="inlineStr">
        <is>
          <t>18/07/2026 09:12:10</t>
        </is>
      </c>
      <c r="B4" s="19" t="inlineStr">
        <is>
          <t>Ana Souza</t>
        </is>
      </c>
      <c r="C4" s="19" t="inlineStr">
        <is>
          <t>Paula T.</t>
        </is>
      </c>
      <c r="D4" s="18" t="inlineStr">
        <is>
          <t>(11) 98888-3333</t>
        </is>
      </c>
      <c r="E4" s="19" t="inlineStr"/>
      <c r="F4" s="18" t="inlineStr"/>
    </row>
    <row r="5">
      <c r="A5" s="18" t="inlineStr">
        <is>
          <t>17/07/2026 16:40:33</t>
        </is>
      </c>
      <c r="B5" s="19" t="inlineStr">
        <is>
          <t>Bruna Lima</t>
        </is>
      </c>
      <c r="C5" s="19" t="inlineStr">
        <is>
          <t>Renata C.</t>
        </is>
      </c>
      <c r="D5" s="18" t="inlineStr">
        <is>
          <t>(21) 97777-4444</t>
        </is>
      </c>
      <c r="E5" s="19" t="inlineStr">
        <is>
          <t>@renata</t>
        </is>
      </c>
      <c r="F5" s="18" t="inlineStr"/>
    </row>
    <row r="6">
      <c r="A6" s="18" t="inlineStr">
        <is>
          <t>18/07/2026 10:05:21</t>
        </is>
      </c>
      <c r="B6" s="19" t="inlineStr">
        <is>
          <t>Bruna Lima</t>
        </is>
      </c>
      <c r="C6" s="19" t="inlineStr">
        <is>
          <t>Sofia M.</t>
        </is>
      </c>
      <c r="D6" s="18" t="inlineStr">
        <is>
          <t>(21) 97777-5555</t>
        </is>
      </c>
      <c r="E6" s="19" t="inlineStr"/>
      <c r="F6" s="20" t="inlineStr">
        <is>
          <t>Sim</t>
        </is>
      </c>
    </row>
    <row r="7">
      <c r="A7" s="18" t="inlineStr">
        <is>
          <t>18/07/2026 11:22:09</t>
        </is>
      </c>
      <c r="B7" s="19" t="inlineStr">
        <is>
          <t>Carla Dias</t>
        </is>
      </c>
      <c r="C7" s="19" t="inlineStr">
        <is>
          <t>Isa L.</t>
        </is>
      </c>
      <c r="D7" s="18" t="inlineStr">
        <is>
          <t>(31) 96666-6666</t>
        </is>
      </c>
      <c r="E7" s="19" t="inlineStr">
        <is>
          <t>@isal</t>
        </is>
      </c>
      <c r="F7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6" customWidth="1" min="4" max="4"/>
    <col width="18" customWidth="1" min="5" max="5"/>
    <col width="12" customWidth="1" min="6" max="6"/>
  </cols>
  <sheetData>
    <row r="1">
      <c r="A1" s="5" t="inlineStr">
        <is>
          <t>PLACAR / APURAÇÃO — 22/07</t>
        </is>
      </c>
    </row>
    <row r="2">
      <c r="A2" s="6" t="inlineStr">
        <is>
          <t>Válida = registrou no Form B E está no grupo no dia 22 (não marcada «Sim» em «Saiu do grupo?»)</t>
        </is>
      </c>
    </row>
    <row r="4">
      <c r="A4" s="21" t="inlineStr">
        <is>
          <t>VENCEDORA (mais válidas):</t>
        </is>
      </c>
      <c r="C4" s="22">
        <f>IFERROR(INDEX(B8:B57,MATCH(MAX(E8:E57),E8:E57,0)),"—")</f>
        <v/>
      </c>
      <c r="D4" s="28" t="n"/>
      <c r="E4" s="6" t="inlineStr">
        <is>
          <t>empate = sorteio</t>
        </is>
      </c>
    </row>
    <row r="7">
      <c r="A7" s="9" t="inlineStr">
        <is>
          <t>Pos.</t>
        </is>
      </c>
      <c r="B7" s="10" t="inlineStr">
        <is>
          <t>Madrinha</t>
        </is>
      </c>
      <c r="C7" s="9" t="inlineStr">
        <is>
          <t>Convidadas registradas</t>
        </is>
      </c>
      <c r="D7" s="9" t="inlineStr">
        <is>
          <t>Saíram</t>
        </is>
      </c>
      <c r="E7" s="9" t="inlineStr">
        <is>
          <t>Convidadas válidas</t>
        </is>
      </c>
      <c r="F7" s="9" t="inlineStr">
        <is>
          <t>% do total</t>
        </is>
      </c>
    </row>
    <row r="8">
      <c r="A8" s="23">
        <f>IF($B8="","",RANK($E8,$E$8:$E$57))</f>
        <v/>
      </c>
      <c r="B8" s="24">
        <f>IF('Gerador de Links'!B7="","",'Gerador de Links'!B7)</f>
        <v/>
      </c>
      <c r="C8" s="23">
        <f>IF($B8="","",COUNTIF('Respostas Form B'!$B:$B,$B8))</f>
        <v/>
      </c>
      <c r="D8" s="23">
        <f>IF($B8="","",COUNTIFS('Respostas Form B'!$B:$B,$B8,'Respostas Form B'!$F:$F,"Sim"))</f>
        <v/>
      </c>
      <c r="E8" s="25">
        <f>IF($B8="","",$C8-$D8)</f>
        <v/>
      </c>
      <c r="F8" s="26">
        <f>IF($B8="","",IF(SUM($E$8:$E$57)=0,0,$E8/SUM($E$8:$E$57)))</f>
        <v/>
      </c>
    </row>
    <row r="9">
      <c r="A9" s="23">
        <f>IF($B9="","",RANK($E9,$E$8:$E$57))</f>
        <v/>
      </c>
      <c r="B9" s="24">
        <f>IF('Gerador de Links'!B8="","",'Gerador de Links'!B8)</f>
        <v/>
      </c>
      <c r="C9" s="23">
        <f>IF($B9="","",COUNTIF('Respostas Form B'!$B:$B,$B9))</f>
        <v/>
      </c>
      <c r="D9" s="23">
        <f>IF($B9="","",COUNTIFS('Respostas Form B'!$B:$B,$B9,'Respostas Form B'!$F:$F,"Sim"))</f>
        <v/>
      </c>
      <c r="E9" s="25">
        <f>IF($B9="","",$C9-$D9)</f>
        <v/>
      </c>
      <c r="F9" s="26">
        <f>IF($B9="","",IF(SUM($E$8:$E$57)=0,0,$E9/SUM($E$8:$E$57)))</f>
        <v/>
      </c>
    </row>
    <row r="10">
      <c r="A10" s="23">
        <f>IF($B10="","",RANK($E10,$E$8:$E$57))</f>
        <v/>
      </c>
      <c r="B10" s="24">
        <f>IF('Gerador de Links'!B9="","",'Gerador de Links'!B9)</f>
        <v/>
      </c>
      <c r="C10" s="23">
        <f>IF($B10="","",COUNTIF('Respostas Form B'!$B:$B,$B10))</f>
        <v/>
      </c>
      <c r="D10" s="23">
        <f>IF($B10="","",COUNTIFS('Respostas Form B'!$B:$B,$B10,'Respostas Form B'!$F:$F,"Sim"))</f>
        <v/>
      </c>
      <c r="E10" s="25">
        <f>IF($B10="","",$C10-$D10)</f>
        <v/>
      </c>
      <c r="F10" s="26">
        <f>IF($B10="","",IF(SUM($E$8:$E$57)=0,0,$E10/SUM($E$8:$E$57)))</f>
        <v/>
      </c>
    </row>
    <row r="11">
      <c r="A11" s="23">
        <f>IF($B11="","",RANK($E11,$E$8:$E$57))</f>
        <v/>
      </c>
      <c r="B11" s="24">
        <f>IF('Gerador de Links'!B10="","",'Gerador de Links'!B10)</f>
        <v/>
      </c>
      <c r="C11" s="23">
        <f>IF($B11="","",COUNTIF('Respostas Form B'!$B:$B,$B11))</f>
        <v/>
      </c>
      <c r="D11" s="23">
        <f>IF($B11="","",COUNTIFS('Respostas Form B'!$B:$B,$B11,'Respostas Form B'!$F:$F,"Sim"))</f>
        <v/>
      </c>
      <c r="E11" s="25">
        <f>IF($B11="","",$C11-$D11)</f>
        <v/>
      </c>
      <c r="F11" s="26">
        <f>IF($B11="","",IF(SUM($E$8:$E$57)=0,0,$E11/SUM($E$8:$E$57)))</f>
        <v/>
      </c>
    </row>
    <row r="12">
      <c r="A12" s="23">
        <f>IF($B12="","",RANK($E12,$E$8:$E$57))</f>
        <v/>
      </c>
      <c r="B12" s="24">
        <f>IF('Gerador de Links'!B11="","",'Gerador de Links'!B11)</f>
        <v/>
      </c>
      <c r="C12" s="23">
        <f>IF($B12="","",COUNTIF('Respostas Form B'!$B:$B,$B12))</f>
        <v/>
      </c>
      <c r="D12" s="23">
        <f>IF($B12="","",COUNTIFS('Respostas Form B'!$B:$B,$B12,'Respostas Form B'!$F:$F,"Sim"))</f>
        <v/>
      </c>
      <c r="E12" s="25">
        <f>IF($B12="","",$C12-$D12)</f>
        <v/>
      </c>
      <c r="F12" s="26">
        <f>IF($B12="","",IF(SUM($E$8:$E$57)=0,0,$E12/SUM($E$8:$E$57)))</f>
        <v/>
      </c>
    </row>
    <row r="13">
      <c r="A13" s="23">
        <f>IF($B13="","",RANK($E13,$E$8:$E$57))</f>
        <v/>
      </c>
      <c r="B13" s="24">
        <f>IF('Gerador de Links'!B12="","",'Gerador de Links'!B12)</f>
        <v/>
      </c>
      <c r="C13" s="23">
        <f>IF($B13="","",COUNTIF('Respostas Form B'!$B:$B,$B13))</f>
        <v/>
      </c>
      <c r="D13" s="23">
        <f>IF($B13="","",COUNTIFS('Respostas Form B'!$B:$B,$B13,'Respostas Form B'!$F:$F,"Sim"))</f>
        <v/>
      </c>
      <c r="E13" s="25">
        <f>IF($B13="","",$C13-$D13)</f>
        <v/>
      </c>
      <c r="F13" s="26">
        <f>IF($B13="","",IF(SUM($E$8:$E$57)=0,0,$E13/SUM($E$8:$E$57)))</f>
        <v/>
      </c>
    </row>
    <row r="14">
      <c r="A14" s="23">
        <f>IF($B14="","",RANK($E14,$E$8:$E$57))</f>
        <v/>
      </c>
      <c r="B14" s="24">
        <f>IF('Gerador de Links'!B13="","",'Gerador de Links'!B13)</f>
        <v/>
      </c>
      <c r="C14" s="23">
        <f>IF($B14="","",COUNTIF('Respostas Form B'!$B:$B,$B14))</f>
        <v/>
      </c>
      <c r="D14" s="23">
        <f>IF($B14="","",COUNTIFS('Respostas Form B'!$B:$B,$B14,'Respostas Form B'!$F:$F,"Sim"))</f>
        <v/>
      </c>
      <c r="E14" s="25">
        <f>IF($B14="","",$C14-$D14)</f>
        <v/>
      </c>
      <c r="F14" s="26">
        <f>IF($B14="","",IF(SUM($E$8:$E$57)=0,0,$E14/SUM($E$8:$E$57)))</f>
        <v/>
      </c>
    </row>
    <row r="15">
      <c r="A15" s="23">
        <f>IF($B15="","",RANK($E15,$E$8:$E$57))</f>
        <v/>
      </c>
      <c r="B15" s="24">
        <f>IF('Gerador de Links'!B14="","",'Gerador de Links'!B14)</f>
        <v/>
      </c>
      <c r="C15" s="23">
        <f>IF($B15="","",COUNTIF('Respostas Form B'!$B:$B,$B15))</f>
        <v/>
      </c>
      <c r="D15" s="23">
        <f>IF($B15="","",COUNTIFS('Respostas Form B'!$B:$B,$B15,'Respostas Form B'!$F:$F,"Sim"))</f>
        <v/>
      </c>
      <c r="E15" s="25">
        <f>IF($B15="","",$C15-$D15)</f>
        <v/>
      </c>
      <c r="F15" s="26">
        <f>IF($B15="","",IF(SUM($E$8:$E$57)=0,0,$E15/SUM($E$8:$E$57)))</f>
        <v/>
      </c>
    </row>
    <row r="16">
      <c r="A16" s="23">
        <f>IF($B16="","",RANK($E16,$E$8:$E$57))</f>
        <v/>
      </c>
      <c r="B16" s="24">
        <f>IF('Gerador de Links'!B15="","",'Gerador de Links'!B15)</f>
        <v/>
      </c>
      <c r="C16" s="23">
        <f>IF($B16="","",COUNTIF('Respostas Form B'!$B:$B,$B16))</f>
        <v/>
      </c>
      <c r="D16" s="23">
        <f>IF($B16="","",COUNTIFS('Respostas Form B'!$B:$B,$B16,'Respostas Form B'!$F:$F,"Sim"))</f>
        <v/>
      </c>
      <c r="E16" s="25">
        <f>IF($B16="","",$C16-$D16)</f>
        <v/>
      </c>
      <c r="F16" s="26">
        <f>IF($B16="","",IF(SUM($E$8:$E$57)=0,0,$E16/SUM($E$8:$E$57)))</f>
        <v/>
      </c>
    </row>
    <row r="17">
      <c r="A17" s="23">
        <f>IF($B17="","",RANK($E17,$E$8:$E$57))</f>
        <v/>
      </c>
      <c r="B17" s="24">
        <f>IF('Gerador de Links'!B16="","",'Gerador de Links'!B16)</f>
        <v/>
      </c>
      <c r="C17" s="23">
        <f>IF($B17="","",COUNTIF('Respostas Form B'!$B:$B,$B17))</f>
        <v/>
      </c>
      <c r="D17" s="23">
        <f>IF($B17="","",COUNTIFS('Respostas Form B'!$B:$B,$B17,'Respostas Form B'!$F:$F,"Sim"))</f>
        <v/>
      </c>
      <c r="E17" s="25">
        <f>IF($B17="","",$C17-$D17)</f>
        <v/>
      </c>
      <c r="F17" s="26">
        <f>IF($B17="","",IF(SUM($E$8:$E$57)=0,0,$E17/SUM($E$8:$E$57)))</f>
        <v/>
      </c>
    </row>
    <row r="18">
      <c r="A18" s="23">
        <f>IF($B18="","",RANK($E18,$E$8:$E$57))</f>
        <v/>
      </c>
      <c r="B18" s="24">
        <f>IF('Gerador de Links'!B17="","",'Gerador de Links'!B17)</f>
        <v/>
      </c>
      <c r="C18" s="23">
        <f>IF($B18="","",COUNTIF('Respostas Form B'!$B:$B,$B18))</f>
        <v/>
      </c>
      <c r="D18" s="23">
        <f>IF($B18="","",COUNTIFS('Respostas Form B'!$B:$B,$B18,'Respostas Form B'!$F:$F,"Sim"))</f>
        <v/>
      </c>
      <c r="E18" s="25">
        <f>IF($B18="","",$C18-$D18)</f>
        <v/>
      </c>
      <c r="F18" s="26">
        <f>IF($B18="","",IF(SUM($E$8:$E$57)=0,0,$E18/SUM($E$8:$E$57)))</f>
        <v/>
      </c>
    </row>
    <row r="19">
      <c r="A19" s="23">
        <f>IF($B19="","",RANK($E19,$E$8:$E$57))</f>
        <v/>
      </c>
      <c r="B19" s="24">
        <f>IF('Gerador de Links'!B18="","",'Gerador de Links'!B18)</f>
        <v/>
      </c>
      <c r="C19" s="23">
        <f>IF($B19="","",COUNTIF('Respostas Form B'!$B:$B,$B19))</f>
        <v/>
      </c>
      <c r="D19" s="23">
        <f>IF($B19="","",COUNTIFS('Respostas Form B'!$B:$B,$B19,'Respostas Form B'!$F:$F,"Sim"))</f>
        <v/>
      </c>
      <c r="E19" s="25">
        <f>IF($B19="","",$C19-$D19)</f>
        <v/>
      </c>
      <c r="F19" s="26">
        <f>IF($B19="","",IF(SUM($E$8:$E$57)=0,0,$E19/SUM($E$8:$E$57)))</f>
        <v/>
      </c>
    </row>
    <row r="20">
      <c r="A20" s="23">
        <f>IF($B20="","",RANK($E20,$E$8:$E$57))</f>
        <v/>
      </c>
      <c r="B20" s="24">
        <f>IF('Gerador de Links'!B19="","",'Gerador de Links'!B19)</f>
        <v/>
      </c>
      <c r="C20" s="23">
        <f>IF($B20="","",COUNTIF('Respostas Form B'!$B:$B,$B20))</f>
        <v/>
      </c>
      <c r="D20" s="23">
        <f>IF($B20="","",COUNTIFS('Respostas Form B'!$B:$B,$B20,'Respostas Form B'!$F:$F,"Sim"))</f>
        <v/>
      </c>
      <c r="E20" s="25">
        <f>IF($B20="","",$C20-$D20)</f>
        <v/>
      </c>
      <c r="F20" s="26">
        <f>IF($B20="","",IF(SUM($E$8:$E$57)=0,0,$E20/SUM($E$8:$E$57)))</f>
        <v/>
      </c>
    </row>
    <row r="21">
      <c r="A21" s="23">
        <f>IF($B21="","",RANK($E21,$E$8:$E$57))</f>
        <v/>
      </c>
      <c r="B21" s="24">
        <f>IF('Gerador de Links'!B20="","",'Gerador de Links'!B20)</f>
        <v/>
      </c>
      <c r="C21" s="23">
        <f>IF($B21="","",COUNTIF('Respostas Form B'!$B:$B,$B21))</f>
        <v/>
      </c>
      <c r="D21" s="23">
        <f>IF($B21="","",COUNTIFS('Respostas Form B'!$B:$B,$B21,'Respostas Form B'!$F:$F,"Sim"))</f>
        <v/>
      </c>
      <c r="E21" s="25">
        <f>IF($B21="","",$C21-$D21)</f>
        <v/>
      </c>
      <c r="F21" s="26">
        <f>IF($B21="","",IF(SUM($E$8:$E$57)=0,0,$E21/SUM($E$8:$E$57)))</f>
        <v/>
      </c>
    </row>
    <row r="22">
      <c r="A22" s="23">
        <f>IF($B22="","",RANK($E22,$E$8:$E$57))</f>
        <v/>
      </c>
      <c r="B22" s="24">
        <f>IF('Gerador de Links'!B21="","",'Gerador de Links'!B21)</f>
        <v/>
      </c>
      <c r="C22" s="23">
        <f>IF($B22="","",COUNTIF('Respostas Form B'!$B:$B,$B22))</f>
        <v/>
      </c>
      <c r="D22" s="23">
        <f>IF($B22="","",COUNTIFS('Respostas Form B'!$B:$B,$B22,'Respostas Form B'!$F:$F,"Sim"))</f>
        <v/>
      </c>
      <c r="E22" s="25">
        <f>IF($B22="","",$C22-$D22)</f>
        <v/>
      </c>
      <c r="F22" s="26">
        <f>IF($B22="","",IF(SUM($E$8:$E$57)=0,0,$E22/SUM($E$8:$E$57)))</f>
        <v/>
      </c>
    </row>
    <row r="23">
      <c r="A23" s="23">
        <f>IF($B23="","",RANK($E23,$E$8:$E$57))</f>
        <v/>
      </c>
      <c r="B23" s="24">
        <f>IF('Gerador de Links'!B22="","",'Gerador de Links'!B22)</f>
        <v/>
      </c>
      <c r="C23" s="23">
        <f>IF($B23="","",COUNTIF('Respostas Form B'!$B:$B,$B23))</f>
        <v/>
      </c>
      <c r="D23" s="23">
        <f>IF($B23="","",COUNTIFS('Respostas Form B'!$B:$B,$B23,'Respostas Form B'!$F:$F,"Sim"))</f>
        <v/>
      </c>
      <c r="E23" s="25">
        <f>IF($B23="","",$C23-$D23)</f>
        <v/>
      </c>
      <c r="F23" s="26">
        <f>IF($B23="","",IF(SUM($E$8:$E$57)=0,0,$E23/SUM($E$8:$E$57)))</f>
        <v/>
      </c>
    </row>
    <row r="24">
      <c r="A24" s="23">
        <f>IF($B24="","",RANK($E24,$E$8:$E$57))</f>
        <v/>
      </c>
      <c r="B24" s="24">
        <f>IF('Gerador de Links'!B23="","",'Gerador de Links'!B23)</f>
        <v/>
      </c>
      <c r="C24" s="23">
        <f>IF($B24="","",COUNTIF('Respostas Form B'!$B:$B,$B24))</f>
        <v/>
      </c>
      <c r="D24" s="23">
        <f>IF($B24="","",COUNTIFS('Respostas Form B'!$B:$B,$B24,'Respostas Form B'!$F:$F,"Sim"))</f>
        <v/>
      </c>
      <c r="E24" s="25">
        <f>IF($B24="","",$C24-$D24)</f>
        <v/>
      </c>
      <c r="F24" s="26">
        <f>IF($B24="","",IF(SUM($E$8:$E$57)=0,0,$E24/SUM($E$8:$E$57)))</f>
        <v/>
      </c>
    </row>
    <row r="25">
      <c r="A25" s="23">
        <f>IF($B25="","",RANK($E25,$E$8:$E$57))</f>
        <v/>
      </c>
      <c r="B25" s="24">
        <f>IF('Gerador de Links'!B24="","",'Gerador de Links'!B24)</f>
        <v/>
      </c>
      <c r="C25" s="23">
        <f>IF($B25="","",COUNTIF('Respostas Form B'!$B:$B,$B25))</f>
        <v/>
      </c>
      <c r="D25" s="23">
        <f>IF($B25="","",COUNTIFS('Respostas Form B'!$B:$B,$B25,'Respostas Form B'!$F:$F,"Sim"))</f>
        <v/>
      </c>
      <c r="E25" s="25">
        <f>IF($B25="","",$C25-$D25)</f>
        <v/>
      </c>
      <c r="F25" s="26">
        <f>IF($B25="","",IF(SUM($E$8:$E$57)=0,0,$E25/SUM($E$8:$E$57)))</f>
        <v/>
      </c>
    </row>
    <row r="26">
      <c r="A26" s="23">
        <f>IF($B26="","",RANK($E26,$E$8:$E$57))</f>
        <v/>
      </c>
      <c r="B26" s="24">
        <f>IF('Gerador de Links'!B25="","",'Gerador de Links'!B25)</f>
        <v/>
      </c>
      <c r="C26" s="23">
        <f>IF($B26="","",COUNTIF('Respostas Form B'!$B:$B,$B26))</f>
        <v/>
      </c>
      <c r="D26" s="23">
        <f>IF($B26="","",COUNTIFS('Respostas Form B'!$B:$B,$B26,'Respostas Form B'!$F:$F,"Sim"))</f>
        <v/>
      </c>
      <c r="E26" s="25">
        <f>IF($B26="","",$C26-$D26)</f>
        <v/>
      </c>
      <c r="F26" s="26">
        <f>IF($B26="","",IF(SUM($E$8:$E$57)=0,0,$E26/SUM($E$8:$E$57)))</f>
        <v/>
      </c>
    </row>
    <row r="27">
      <c r="A27" s="23">
        <f>IF($B27="","",RANK($E27,$E$8:$E$57))</f>
        <v/>
      </c>
      <c r="B27" s="24">
        <f>IF('Gerador de Links'!B26="","",'Gerador de Links'!B26)</f>
        <v/>
      </c>
      <c r="C27" s="23">
        <f>IF($B27="","",COUNTIF('Respostas Form B'!$B:$B,$B27))</f>
        <v/>
      </c>
      <c r="D27" s="23">
        <f>IF($B27="","",COUNTIFS('Respostas Form B'!$B:$B,$B27,'Respostas Form B'!$F:$F,"Sim"))</f>
        <v/>
      </c>
      <c r="E27" s="25">
        <f>IF($B27="","",$C27-$D27)</f>
        <v/>
      </c>
      <c r="F27" s="26">
        <f>IF($B27="","",IF(SUM($E$8:$E$57)=0,0,$E27/SUM($E$8:$E$57)))</f>
        <v/>
      </c>
    </row>
    <row r="28">
      <c r="A28" s="23">
        <f>IF($B28="","",RANK($E28,$E$8:$E$57))</f>
        <v/>
      </c>
      <c r="B28" s="24">
        <f>IF('Gerador de Links'!B27="","",'Gerador de Links'!B27)</f>
        <v/>
      </c>
      <c r="C28" s="23">
        <f>IF($B28="","",COUNTIF('Respostas Form B'!$B:$B,$B28))</f>
        <v/>
      </c>
      <c r="D28" s="23">
        <f>IF($B28="","",COUNTIFS('Respostas Form B'!$B:$B,$B28,'Respostas Form B'!$F:$F,"Sim"))</f>
        <v/>
      </c>
      <c r="E28" s="25">
        <f>IF($B28="","",$C28-$D28)</f>
        <v/>
      </c>
      <c r="F28" s="26">
        <f>IF($B28="","",IF(SUM($E$8:$E$57)=0,0,$E28/SUM($E$8:$E$57)))</f>
        <v/>
      </c>
    </row>
    <row r="29">
      <c r="A29" s="23">
        <f>IF($B29="","",RANK($E29,$E$8:$E$57))</f>
        <v/>
      </c>
      <c r="B29" s="24">
        <f>IF('Gerador de Links'!B28="","",'Gerador de Links'!B28)</f>
        <v/>
      </c>
      <c r="C29" s="23">
        <f>IF($B29="","",COUNTIF('Respostas Form B'!$B:$B,$B29))</f>
        <v/>
      </c>
      <c r="D29" s="23">
        <f>IF($B29="","",COUNTIFS('Respostas Form B'!$B:$B,$B29,'Respostas Form B'!$F:$F,"Sim"))</f>
        <v/>
      </c>
      <c r="E29" s="25">
        <f>IF($B29="","",$C29-$D29)</f>
        <v/>
      </c>
      <c r="F29" s="26">
        <f>IF($B29="","",IF(SUM($E$8:$E$57)=0,0,$E29/SUM($E$8:$E$57)))</f>
        <v/>
      </c>
    </row>
    <row r="30">
      <c r="A30" s="23">
        <f>IF($B30="","",RANK($E30,$E$8:$E$57))</f>
        <v/>
      </c>
      <c r="B30" s="24">
        <f>IF('Gerador de Links'!B29="","",'Gerador de Links'!B29)</f>
        <v/>
      </c>
      <c r="C30" s="23">
        <f>IF($B30="","",COUNTIF('Respostas Form B'!$B:$B,$B30))</f>
        <v/>
      </c>
      <c r="D30" s="23">
        <f>IF($B30="","",COUNTIFS('Respostas Form B'!$B:$B,$B30,'Respostas Form B'!$F:$F,"Sim"))</f>
        <v/>
      </c>
      <c r="E30" s="25">
        <f>IF($B30="","",$C30-$D30)</f>
        <v/>
      </c>
      <c r="F30" s="26">
        <f>IF($B30="","",IF(SUM($E$8:$E$57)=0,0,$E30/SUM($E$8:$E$57)))</f>
        <v/>
      </c>
    </row>
    <row r="31">
      <c r="A31" s="23">
        <f>IF($B31="","",RANK($E31,$E$8:$E$57))</f>
        <v/>
      </c>
      <c r="B31" s="24">
        <f>IF('Gerador de Links'!B30="","",'Gerador de Links'!B30)</f>
        <v/>
      </c>
      <c r="C31" s="23">
        <f>IF($B31="","",COUNTIF('Respostas Form B'!$B:$B,$B31))</f>
        <v/>
      </c>
      <c r="D31" s="23">
        <f>IF($B31="","",COUNTIFS('Respostas Form B'!$B:$B,$B31,'Respostas Form B'!$F:$F,"Sim"))</f>
        <v/>
      </c>
      <c r="E31" s="25">
        <f>IF($B31="","",$C31-$D31)</f>
        <v/>
      </c>
      <c r="F31" s="26">
        <f>IF($B31="","",IF(SUM($E$8:$E$57)=0,0,$E31/SUM($E$8:$E$57)))</f>
        <v/>
      </c>
    </row>
    <row r="32">
      <c r="A32" s="23">
        <f>IF($B32="","",RANK($E32,$E$8:$E$57))</f>
        <v/>
      </c>
      <c r="B32" s="24">
        <f>IF('Gerador de Links'!B31="","",'Gerador de Links'!B31)</f>
        <v/>
      </c>
      <c r="C32" s="23">
        <f>IF($B32="","",COUNTIF('Respostas Form B'!$B:$B,$B32))</f>
        <v/>
      </c>
      <c r="D32" s="23">
        <f>IF($B32="","",COUNTIFS('Respostas Form B'!$B:$B,$B32,'Respostas Form B'!$F:$F,"Sim"))</f>
        <v/>
      </c>
      <c r="E32" s="25">
        <f>IF($B32="","",$C32-$D32)</f>
        <v/>
      </c>
      <c r="F32" s="26">
        <f>IF($B32="","",IF(SUM($E$8:$E$57)=0,0,$E32/SUM($E$8:$E$57)))</f>
        <v/>
      </c>
    </row>
    <row r="33">
      <c r="A33" s="23">
        <f>IF($B33="","",RANK($E33,$E$8:$E$57))</f>
        <v/>
      </c>
      <c r="B33" s="24">
        <f>IF('Gerador de Links'!B32="","",'Gerador de Links'!B32)</f>
        <v/>
      </c>
      <c r="C33" s="23">
        <f>IF($B33="","",COUNTIF('Respostas Form B'!$B:$B,$B33))</f>
        <v/>
      </c>
      <c r="D33" s="23">
        <f>IF($B33="","",COUNTIFS('Respostas Form B'!$B:$B,$B33,'Respostas Form B'!$F:$F,"Sim"))</f>
        <v/>
      </c>
      <c r="E33" s="25">
        <f>IF($B33="","",$C33-$D33)</f>
        <v/>
      </c>
      <c r="F33" s="26">
        <f>IF($B33="","",IF(SUM($E$8:$E$57)=0,0,$E33/SUM($E$8:$E$57)))</f>
        <v/>
      </c>
    </row>
    <row r="34">
      <c r="A34" s="23">
        <f>IF($B34="","",RANK($E34,$E$8:$E$57))</f>
        <v/>
      </c>
      <c r="B34" s="24">
        <f>IF('Gerador de Links'!B33="","",'Gerador de Links'!B33)</f>
        <v/>
      </c>
      <c r="C34" s="23">
        <f>IF($B34="","",COUNTIF('Respostas Form B'!$B:$B,$B34))</f>
        <v/>
      </c>
      <c r="D34" s="23">
        <f>IF($B34="","",COUNTIFS('Respostas Form B'!$B:$B,$B34,'Respostas Form B'!$F:$F,"Sim"))</f>
        <v/>
      </c>
      <c r="E34" s="25">
        <f>IF($B34="","",$C34-$D34)</f>
        <v/>
      </c>
      <c r="F34" s="26">
        <f>IF($B34="","",IF(SUM($E$8:$E$57)=0,0,$E34/SUM($E$8:$E$57)))</f>
        <v/>
      </c>
    </row>
    <row r="35">
      <c r="A35" s="23">
        <f>IF($B35="","",RANK($E35,$E$8:$E$57))</f>
        <v/>
      </c>
      <c r="B35" s="24">
        <f>IF('Gerador de Links'!B34="","",'Gerador de Links'!B34)</f>
        <v/>
      </c>
      <c r="C35" s="23">
        <f>IF($B35="","",COUNTIF('Respostas Form B'!$B:$B,$B35))</f>
        <v/>
      </c>
      <c r="D35" s="23">
        <f>IF($B35="","",COUNTIFS('Respostas Form B'!$B:$B,$B35,'Respostas Form B'!$F:$F,"Sim"))</f>
        <v/>
      </c>
      <c r="E35" s="25">
        <f>IF($B35="","",$C35-$D35)</f>
        <v/>
      </c>
      <c r="F35" s="26">
        <f>IF($B35="","",IF(SUM($E$8:$E$57)=0,0,$E35/SUM($E$8:$E$57)))</f>
        <v/>
      </c>
    </row>
    <row r="36">
      <c r="A36" s="23">
        <f>IF($B36="","",RANK($E36,$E$8:$E$57))</f>
        <v/>
      </c>
      <c r="B36" s="24">
        <f>IF('Gerador de Links'!B35="","",'Gerador de Links'!B35)</f>
        <v/>
      </c>
      <c r="C36" s="23">
        <f>IF($B36="","",COUNTIF('Respostas Form B'!$B:$B,$B36))</f>
        <v/>
      </c>
      <c r="D36" s="23">
        <f>IF($B36="","",COUNTIFS('Respostas Form B'!$B:$B,$B36,'Respostas Form B'!$F:$F,"Sim"))</f>
        <v/>
      </c>
      <c r="E36" s="25">
        <f>IF($B36="","",$C36-$D36)</f>
        <v/>
      </c>
      <c r="F36" s="26">
        <f>IF($B36="","",IF(SUM($E$8:$E$57)=0,0,$E36/SUM($E$8:$E$57)))</f>
        <v/>
      </c>
    </row>
    <row r="37">
      <c r="A37" s="23">
        <f>IF($B37="","",RANK($E37,$E$8:$E$57))</f>
        <v/>
      </c>
      <c r="B37" s="24">
        <f>IF('Gerador de Links'!B36="","",'Gerador de Links'!B36)</f>
        <v/>
      </c>
      <c r="C37" s="23">
        <f>IF($B37="","",COUNTIF('Respostas Form B'!$B:$B,$B37))</f>
        <v/>
      </c>
      <c r="D37" s="23">
        <f>IF($B37="","",COUNTIFS('Respostas Form B'!$B:$B,$B37,'Respostas Form B'!$F:$F,"Sim"))</f>
        <v/>
      </c>
      <c r="E37" s="25">
        <f>IF($B37="","",$C37-$D37)</f>
        <v/>
      </c>
      <c r="F37" s="26">
        <f>IF($B37="","",IF(SUM($E$8:$E$57)=0,0,$E37/SUM($E$8:$E$57)))</f>
        <v/>
      </c>
    </row>
    <row r="38">
      <c r="A38" s="23">
        <f>IF($B38="","",RANK($E38,$E$8:$E$57))</f>
        <v/>
      </c>
      <c r="B38" s="24">
        <f>IF('Gerador de Links'!B37="","",'Gerador de Links'!B37)</f>
        <v/>
      </c>
      <c r="C38" s="23">
        <f>IF($B38="","",COUNTIF('Respostas Form B'!$B:$B,$B38))</f>
        <v/>
      </c>
      <c r="D38" s="23">
        <f>IF($B38="","",COUNTIFS('Respostas Form B'!$B:$B,$B38,'Respostas Form B'!$F:$F,"Sim"))</f>
        <v/>
      </c>
      <c r="E38" s="25">
        <f>IF($B38="","",$C38-$D38)</f>
        <v/>
      </c>
      <c r="F38" s="26">
        <f>IF($B38="","",IF(SUM($E$8:$E$57)=0,0,$E38/SUM($E$8:$E$57)))</f>
        <v/>
      </c>
    </row>
    <row r="39">
      <c r="A39" s="23">
        <f>IF($B39="","",RANK($E39,$E$8:$E$57))</f>
        <v/>
      </c>
      <c r="B39" s="24">
        <f>IF('Gerador de Links'!B38="","",'Gerador de Links'!B38)</f>
        <v/>
      </c>
      <c r="C39" s="23">
        <f>IF($B39="","",COUNTIF('Respostas Form B'!$B:$B,$B39))</f>
        <v/>
      </c>
      <c r="D39" s="23">
        <f>IF($B39="","",COUNTIFS('Respostas Form B'!$B:$B,$B39,'Respostas Form B'!$F:$F,"Sim"))</f>
        <v/>
      </c>
      <c r="E39" s="25">
        <f>IF($B39="","",$C39-$D39)</f>
        <v/>
      </c>
      <c r="F39" s="26">
        <f>IF($B39="","",IF(SUM($E$8:$E$57)=0,0,$E39/SUM($E$8:$E$57)))</f>
        <v/>
      </c>
    </row>
    <row r="40">
      <c r="A40" s="23">
        <f>IF($B40="","",RANK($E40,$E$8:$E$57))</f>
        <v/>
      </c>
      <c r="B40" s="24">
        <f>IF('Gerador de Links'!B39="","",'Gerador de Links'!B39)</f>
        <v/>
      </c>
      <c r="C40" s="23">
        <f>IF($B40="","",COUNTIF('Respostas Form B'!$B:$B,$B40))</f>
        <v/>
      </c>
      <c r="D40" s="23">
        <f>IF($B40="","",COUNTIFS('Respostas Form B'!$B:$B,$B40,'Respostas Form B'!$F:$F,"Sim"))</f>
        <v/>
      </c>
      <c r="E40" s="25">
        <f>IF($B40="","",$C40-$D40)</f>
        <v/>
      </c>
      <c r="F40" s="26">
        <f>IF($B40="","",IF(SUM($E$8:$E$57)=0,0,$E40/SUM($E$8:$E$57)))</f>
        <v/>
      </c>
    </row>
    <row r="41">
      <c r="A41" s="23">
        <f>IF($B41="","",RANK($E41,$E$8:$E$57))</f>
        <v/>
      </c>
      <c r="B41" s="24">
        <f>IF('Gerador de Links'!B40="","",'Gerador de Links'!B40)</f>
        <v/>
      </c>
      <c r="C41" s="23">
        <f>IF($B41="","",COUNTIF('Respostas Form B'!$B:$B,$B41))</f>
        <v/>
      </c>
      <c r="D41" s="23">
        <f>IF($B41="","",COUNTIFS('Respostas Form B'!$B:$B,$B41,'Respostas Form B'!$F:$F,"Sim"))</f>
        <v/>
      </c>
      <c r="E41" s="25">
        <f>IF($B41="","",$C41-$D41)</f>
        <v/>
      </c>
      <c r="F41" s="26">
        <f>IF($B41="","",IF(SUM($E$8:$E$57)=0,0,$E41/SUM($E$8:$E$57)))</f>
        <v/>
      </c>
    </row>
    <row r="42">
      <c r="A42" s="23">
        <f>IF($B42="","",RANK($E42,$E$8:$E$57))</f>
        <v/>
      </c>
      <c r="B42" s="24">
        <f>IF('Gerador de Links'!B41="","",'Gerador de Links'!B41)</f>
        <v/>
      </c>
      <c r="C42" s="23">
        <f>IF($B42="","",COUNTIF('Respostas Form B'!$B:$B,$B42))</f>
        <v/>
      </c>
      <c r="D42" s="23">
        <f>IF($B42="","",COUNTIFS('Respostas Form B'!$B:$B,$B42,'Respostas Form B'!$F:$F,"Sim"))</f>
        <v/>
      </c>
      <c r="E42" s="25">
        <f>IF($B42="","",$C42-$D42)</f>
        <v/>
      </c>
      <c r="F42" s="26">
        <f>IF($B42="","",IF(SUM($E$8:$E$57)=0,0,$E42/SUM($E$8:$E$57)))</f>
        <v/>
      </c>
    </row>
    <row r="43">
      <c r="A43" s="23">
        <f>IF($B43="","",RANK($E43,$E$8:$E$57))</f>
        <v/>
      </c>
      <c r="B43" s="24">
        <f>IF('Gerador de Links'!B42="","",'Gerador de Links'!B42)</f>
        <v/>
      </c>
      <c r="C43" s="23">
        <f>IF($B43="","",COUNTIF('Respostas Form B'!$B:$B,$B43))</f>
        <v/>
      </c>
      <c r="D43" s="23">
        <f>IF($B43="","",COUNTIFS('Respostas Form B'!$B:$B,$B43,'Respostas Form B'!$F:$F,"Sim"))</f>
        <v/>
      </c>
      <c r="E43" s="25">
        <f>IF($B43="","",$C43-$D43)</f>
        <v/>
      </c>
      <c r="F43" s="26">
        <f>IF($B43="","",IF(SUM($E$8:$E$57)=0,0,$E43/SUM($E$8:$E$57)))</f>
        <v/>
      </c>
    </row>
    <row r="44">
      <c r="A44" s="23">
        <f>IF($B44="","",RANK($E44,$E$8:$E$57))</f>
        <v/>
      </c>
      <c r="B44" s="24">
        <f>IF('Gerador de Links'!B43="","",'Gerador de Links'!B43)</f>
        <v/>
      </c>
      <c r="C44" s="23">
        <f>IF($B44="","",COUNTIF('Respostas Form B'!$B:$B,$B44))</f>
        <v/>
      </c>
      <c r="D44" s="23">
        <f>IF($B44="","",COUNTIFS('Respostas Form B'!$B:$B,$B44,'Respostas Form B'!$F:$F,"Sim"))</f>
        <v/>
      </c>
      <c r="E44" s="25">
        <f>IF($B44="","",$C44-$D44)</f>
        <v/>
      </c>
      <c r="F44" s="26">
        <f>IF($B44="","",IF(SUM($E$8:$E$57)=0,0,$E44/SUM($E$8:$E$57)))</f>
        <v/>
      </c>
    </row>
    <row r="45">
      <c r="A45" s="23">
        <f>IF($B45="","",RANK($E45,$E$8:$E$57))</f>
        <v/>
      </c>
      <c r="B45" s="24">
        <f>IF('Gerador de Links'!B44="","",'Gerador de Links'!B44)</f>
        <v/>
      </c>
      <c r="C45" s="23">
        <f>IF($B45="","",COUNTIF('Respostas Form B'!$B:$B,$B45))</f>
        <v/>
      </c>
      <c r="D45" s="23">
        <f>IF($B45="","",COUNTIFS('Respostas Form B'!$B:$B,$B45,'Respostas Form B'!$F:$F,"Sim"))</f>
        <v/>
      </c>
      <c r="E45" s="25">
        <f>IF($B45="","",$C45-$D45)</f>
        <v/>
      </c>
      <c r="F45" s="26">
        <f>IF($B45="","",IF(SUM($E$8:$E$57)=0,0,$E45/SUM($E$8:$E$57)))</f>
        <v/>
      </c>
    </row>
    <row r="46">
      <c r="A46" s="23">
        <f>IF($B46="","",RANK($E46,$E$8:$E$57))</f>
        <v/>
      </c>
      <c r="B46" s="24">
        <f>IF('Gerador de Links'!B45="","",'Gerador de Links'!B45)</f>
        <v/>
      </c>
      <c r="C46" s="23">
        <f>IF($B46="","",COUNTIF('Respostas Form B'!$B:$B,$B46))</f>
        <v/>
      </c>
      <c r="D46" s="23">
        <f>IF($B46="","",COUNTIFS('Respostas Form B'!$B:$B,$B46,'Respostas Form B'!$F:$F,"Sim"))</f>
        <v/>
      </c>
      <c r="E46" s="25">
        <f>IF($B46="","",$C46-$D46)</f>
        <v/>
      </c>
      <c r="F46" s="26">
        <f>IF($B46="","",IF(SUM($E$8:$E$57)=0,0,$E46/SUM($E$8:$E$57)))</f>
        <v/>
      </c>
    </row>
    <row r="47">
      <c r="A47" s="23">
        <f>IF($B47="","",RANK($E47,$E$8:$E$57))</f>
        <v/>
      </c>
      <c r="B47" s="24">
        <f>IF('Gerador de Links'!B46="","",'Gerador de Links'!B46)</f>
        <v/>
      </c>
      <c r="C47" s="23">
        <f>IF($B47="","",COUNTIF('Respostas Form B'!$B:$B,$B47))</f>
        <v/>
      </c>
      <c r="D47" s="23">
        <f>IF($B47="","",COUNTIFS('Respostas Form B'!$B:$B,$B47,'Respostas Form B'!$F:$F,"Sim"))</f>
        <v/>
      </c>
      <c r="E47" s="25">
        <f>IF($B47="","",$C47-$D47)</f>
        <v/>
      </c>
      <c r="F47" s="26">
        <f>IF($B47="","",IF(SUM($E$8:$E$57)=0,0,$E47/SUM($E$8:$E$57)))</f>
        <v/>
      </c>
    </row>
    <row r="48">
      <c r="A48" s="23">
        <f>IF($B48="","",RANK($E48,$E$8:$E$57))</f>
        <v/>
      </c>
      <c r="B48" s="24">
        <f>IF('Gerador de Links'!B47="","",'Gerador de Links'!B47)</f>
        <v/>
      </c>
      <c r="C48" s="23">
        <f>IF($B48="","",COUNTIF('Respostas Form B'!$B:$B,$B48))</f>
        <v/>
      </c>
      <c r="D48" s="23">
        <f>IF($B48="","",COUNTIFS('Respostas Form B'!$B:$B,$B48,'Respostas Form B'!$F:$F,"Sim"))</f>
        <v/>
      </c>
      <c r="E48" s="25">
        <f>IF($B48="","",$C48-$D48)</f>
        <v/>
      </c>
      <c r="F48" s="26">
        <f>IF($B48="","",IF(SUM($E$8:$E$57)=0,0,$E48/SUM($E$8:$E$57)))</f>
        <v/>
      </c>
    </row>
    <row r="49">
      <c r="A49" s="23">
        <f>IF($B49="","",RANK($E49,$E$8:$E$57))</f>
        <v/>
      </c>
      <c r="B49" s="24">
        <f>IF('Gerador de Links'!B48="","",'Gerador de Links'!B48)</f>
        <v/>
      </c>
      <c r="C49" s="23">
        <f>IF($B49="","",COUNTIF('Respostas Form B'!$B:$B,$B49))</f>
        <v/>
      </c>
      <c r="D49" s="23">
        <f>IF($B49="","",COUNTIFS('Respostas Form B'!$B:$B,$B49,'Respostas Form B'!$F:$F,"Sim"))</f>
        <v/>
      </c>
      <c r="E49" s="25">
        <f>IF($B49="","",$C49-$D49)</f>
        <v/>
      </c>
      <c r="F49" s="26">
        <f>IF($B49="","",IF(SUM($E$8:$E$57)=0,0,$E49/SUM($E$8:$E$57)))</f>
        <v/>
      </c>
    </row>
    <row r="50">
      <c r="A50" s="23">
        <f>IF($B50="","",RANK($E50,$E$8:$E$57))</f>
        <v/>
      </c>
      <c r="B50" s="24">
        <f>IF('Gerador de Links'!B49="","",'Gerador de Links'!B49)</f>
        <v/>
      </c>
      <c r="C50" s="23">
        <f>IF($B50="","",COUNTIF('Respostas Form B'!$B:$B,$B50))</f>
        <v/>
      </c>
      <c r="D50" s="23">
        <f>IF($B50="","",COUNTIFS('Respostas Form B'!$B:$B,$B50,'Respostas Form B'!$F:$F,"Sim"))</f>
        <v/>
      </c>
      <c r="E50" s="25">
        <f>IF($B50="","",$C50-$D50)</f>
        <v/>
      </c>
      <c r="F50" s="26">
        <f>IF($B50="","",IF(SUM($E$8:$E$57)=0,0,$E50/SUM($E$8:$E$57)))</f>
        <v/>
      </c>
    </row>
    <row r="51">
      <c r="A51" s="23">
        <f>IF($B51="","",RANK($E51,$E$8:$E$57))</f>
        <v/>
      </c>
      <c r="B51" s="24">
        <f>IF('Gerador de Links'!B50="","",'Gerador de Links'!B50)</f>
        <v/>
      </c>
      <c r="C51" s="23">
        <f>IF($B51="","",COUNTIF('Respostas Form B'!$B:$B,$B51))</f>
        <v/>
      </c>
      <c r="D51" s="23">
        <f>IF($B51="","",COUNTIFS('Respostas Form B'!$B:$B,$B51,'Respostas Form B'!$F:$F,"Sim"))</f>
        <v/>
      </c>
      <c r="E51" s="25">
        <f>IF($B51="","",$C51-$D51)</f>
        <v/>
      </c>
      <c r="F51" s="26">
        <f>IF($B51="","",IF(SUM($E$8:$E$57)=0,0,$E51/SUM($E$8:$E$57)))</f>
        <v/>
      </c>
    </row>
    <row r="52">
      <c r="A52" s="23">
        <f>IF($B52="","",RANK($E52,$E$8:$E$57))</f>
        <v/>
      </c>
      <c r="B52" s="24">
        <f>IF('Gerador de Links'!B51="","",'Gerador de Links'!B51)</f>
        <v/>
      </c>
      <c r="C52" s="23">
        <f>IF($B52="","",COUNTIF('Respostas Form B'!$B:$B,$B52))</f>
        <v/>
      </c>
      <c r="D52" s="23">
        <f>IF($B52="","",COUNTIFS('Respostas Form B'!$B:$B,$B52,'Respostas Form B'!$F:$F,"Sim"))</f>
        <v/>
      </c>
      <c r="E52" s="25">
        <f>IF($B52="","",$C52-$D52)</f>
        <v/>
      </c>
      <c r="F52" s="26">
        <f>IF($B52="","",IF(SUM($E$8:$E$57)=0,0,$E52/SUM($E$8:$E$57)))</f>
        <v/>
      </c>
    </row>
    <row r="53">
      <c r="A53" s="23">
        <f>IF($B53="","",RANK($E53,$E$8:$E$57))</f>
        <v/>
      </c>
      <c r="B53" s="24">
        <f>IF('Gerador de Links'!B52="","",'Gerador de Links'!B52)</f>
        <v/>
      </c>
      <c r="C53" s="23">
        <f>IF($B53="","",COUNTIF('Respostas Form B'!$B:$B,$B53))</f>
        <v/>
      </c>
      <c r="D53" s="23">
        <f>IF($B53="","",COUNTIFS('Respostas Form B'!$B:$B,$B53,'Respostas Form B'!$F:$F,"Sim"))</f>
        <v/>
      </c>
      <c r="E53" s="25">
        <f>IF($B53="","",$C53-$D53)</f>
        <v/>
      </c>
      <c r="F53" s="26">
        <f>IF($B53="","",IF(SUM($E$8:$E$57)=0,0,$E53/SUM($E$8:$E$57)))</f>
        <v/>
      </c>
    </row>
    <row r="54">
      <c r="A54" s="23">
        <f>IF($B54="","",RANK($E54,$E$8:$E$57))</f>
        <v/>
      </c>
      <c r="B54" s="24">
        <f>IF('Gerador de Links'!B53="","",'Gerador de Links'!B53)</f>
        <v/>
      </c>
      <c r="C54" s="23">
        <f>IF($B54="","",COUNTIF('Respostas Form B'!$B:$B,$B54))</f>
        <v/>
      </c>
      <c r="D54" s="23">
        <f>IF($B54="","",COUNTIFS('Respostas Form B'!$B:$B,$B54,'Respostas Form B'!$F:$F,"Sim"))</f>
        <v/>
      </c>
      <c r="E54" s="25">
        <f>IF($B54="","",$C54-$D54)</f>
        <v/>
      </c>
      <c r="F54" s="26">
        <f>IF($B54="","",IF(SUM($E$8:$E$57)=0,0,$E54/SUM($E$8:$E$57)))</f>
        <v/>
      </c>
    </row>
    <row r="55">
      <c r="A55" s="23">
        <f>IF($B55="","",RANK($E55,$E$8:$E$57))</f>
        <v/>
      </c>
      <c r="B55" s="24">
        <f>IF('Gerador de Links'!B54="","",'Gerador de Links'!B54)</f>
        <v/>
      </c>
      <c r="C55" s="23">
        <f>IF($B55="","",COUNTIF('Respostas Form B'!$B:$B,$B55))</f>
        <v/>
      </c>
      <c r="D55" s="23">
        <f>IF($B55="","",COUNTIFS('Respostas Form B'!$B:$B,$B55,'Respostas Form B'!$F:$F,"Sim"))</f>
        <v/>
      </c>
      <c r="E55" s="25">
        <f>IF($B55="","",$C55-$D55)</f>
        <v/>
      </c>
      <c r="F55" s="26">
        <f>IF($B55="","",IF(SUM($E$8:$E$57)=0,0,$E55/SUM($E$8:$E$57)))</f>
        <v/>
      </c>
    </row>
    <row r="56">
      <c r="A56" s="23">
        <f>IF($B56="","",RANK($E56,$E$8:$E$57))</f>
        <v/>
      </c>
      <c r="B56" s="24">
        <f>IF('Gerador de Links'!B55="","",'Gerador de Links'!B55)</f>
        <v/>
      </c>
      <c r="C56" s="23">
        <f>IF($B56="","",COUNTIF('Respostas Form B'!$B:$B,$B56))</f>
        <v/>
      </c>
      <c r="D56" s="23">
        <f>IF($B56="","",COUNTIFS('Respostas Form B'!$B:$B,$B56,'Respostas Form B'!$F:$F,"Sim"))</f>
        <v/>
      </c>
      <c r="E56" s="25">
        <f>IF($B56="","",$C56-$D56)</f>
        <v/>
      </c>
      <c r="F56" s="26">
        <f>IF($B56="","",IF(SUM($E$8:$E$57)=0,0,$E56/SUM($E$8:$E$57)))</f>
        <v/>
      </c>
    </row>
    <row r="57">
      <c r="A57" s="23">
        <f>IF($B57="","",RANK($E57,$E$8:$E$57))</f>
        <v/>
      </c>
      <c r="B57" s="24">
        <f>IF('Gerador de Links'!B56="","",'Gerador de Links'!B56)</f>
        <v/>
      </c>
      <c r="C57" s="23">
        <f>IF($B57="","",COUNTIF('Respostas Form B'!$B:$B,$B57))</f>
        <v/>
      </c>
      <c r="D57" s="23">
        <f>IF($B57="","",COUNTIFS('Respostas Form B'!$B:$B,$B57,'Respostas Form B'!$F:$F,"Sim"))</f>
        <v/>
      </c>
      <c r="E57" s="25">
        <f>IF($B57="","",$C57-$D57)</f>
        <v/>
      </c>
      <c r="F57" s="26">
        <f>IF($B57="","",IF(SUM($E$8:$E$57)=0,0,$E57/SUM($E$8:$E$57)))</f>
        <v/>
      </c>
    </row>
  </sheetData>
  <mergeCells count="2">
    <mergeCell ref="A4:B4"/>
    <mergeCell ref="C4:D4"/>
  </mergeCells>
  <conditionalFormatting sqref="E8:E57">
    <cfRule type="cellIs" priority="1" operator="equal" dxfId="0">
      <formula>MAX($E$8:$E$57)</formula>
    </cfRule>
  </conditionalFormatting>
  <conditionalFormatting sqref="C8:C57">
    <cfRule type="colorScale" priority="2">
      <colorScale>
        <cfvo type="min"/>
        <cfvo type="max"/>
        <color rgb="00FFFFFF"/>
        <color rgb="009FC5E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2026-07-17T16:17:10Z</dcterms:created>
  <dcterms:modified xmlns:dcterms="http://purl.org/dc/terms/" xmlns:xsi="http://www.w3.org/2001/XMLSchema-instance" xsi:type="dcterms:W3CDTF">2026-07-17T18:59:34Z</dcterms:modified>
</cp:coreProperties>
</file>